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TK\Desktop\이재강\1. 개인\클로드\"/>
    </mc:Choice>
  </mc:AlternateContent>
  <xr:revisionPtr revIDLastSave="0" documentId="13_ncr:1_{268C5501-C034-45B9-A516-AB6AEC380D5A}" xr6:coauthVersionLast="47" xr6:coauthVersionMax="47" xr10:uidLastSave="{00000000-0000-0000-0000-000000000000}"/>
  <bookViews>
    <workbookView xWindow="-38520" yWindow="-3240" windowWidth="38640" windowHeight="21120" tabRatio="756" firstSheet="1" activeTab="1" xr2:uid="{00000000-000D-0000-FFFF-FFFF00000000}"/>
  </bookViews>
  <sheets>
    <sheet name="분석" sheetId="24" state="hidden" r:id="rId1"/>
    <sheet name="GFA_주간리포트_RAW" sheetId="1" r:id="rId2"/>
    <sheet name="INDEX_PC" sheetId="23" state="hidden" r:id="rId3"/>
  </sheets>
  <externalReferences>
    <externalReference r:id="rId4"/>
    <externalReference r:id="rId5"/>
  </externalReferences>
  <definedNames>
    <definedName name="_xlnm._FilterDatabase" localSheetId="1" hidden="1">GFA_주간리포트_RAW!$A$1:$Q$3</definedName>
    <definedName name="_Order1">255</definedName>
    <definedName name="_Order2">255</definedName>
    <definedName name="AS2DocOpenMode">"AS2DocumentBrowse"</definedName>
    <definedName name="_xlnm.Database">[1]엔미즈_코리아!$A$2:$AA$38</definedName>
    <definedName name="internet">#REF!</definedName>
    <definedName name="TextRefCopyRangeCount">4</definedName>
    <definedName name="니ㅏ어림">[1]엔미즈_코리아!$A$2:$AA$38</definedName>
    <definedName name="영역">#REF!</definedName>
    <definedName name="전체단가표">[2]전체단가표!$A$2:$F$140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4" l="1"/>
  <c r="H31" i="24"/>
  <c r="I2" i="1" l="1"/>
  <c r="N30" i="24"/>
  <c r="M30" i="24"/>
  <c r="L30" i="24"/>
  <c r="K30" i="24"/>
  <c r="J30" i="24"/>
  <c r="I30" i="24"/>
  <c r="H30" i="24"/>
  <c r="G30" i="24"/>
  <c r="F30" i="24"/>
  <c r="E30" i="24"/>
  <c r="D30" i="24"/>
  <c r="N29" i="24"/>
  <c r="M29" i="24"/>
  <c r="L29" i="24"/>
  <c r="K29" i="24"/>
  <c r="J29" i="24"/>
  <c r="I29" i="24"/>
  <c r="H29" i="24"/>
  <c r="G29" i="24"/>
  <c r="F29" i="24"/>
  <c r="E29" i="24"/>
  <c r="D29" i="24"/>
  <c r="K4" i="24" l="1"/>
  <c r="J4" i="24"/>
  <c r="N102" i="24"/>
  <c r="M102" i="24"/>
  <c r="L102" i="24"/>
  <c r="K102" i="24"/>
  <c r="J102" i="24"/>
  <c r="I102" i="24"/>
  <c r="H102" i="24"/>
  <c r="G102" i="24"/>
  <c r="F102" i="24"/>
  <c r="E102" i="24"/>
  <c r="D102" i="24"/>
  <c r="N101" i="24"/>
  <c r="M101" i="24"/>
  <c r="L101" i="24"/>
  <c r="K101" i="24"/>
  <c r="J101" i="24"/>
  <c r="I101" i="24"/>
  <c r="H101" i="24"/>
  <c r="G101" i="24"/>
  <c r="F101" i="24"/>
  <c r="E101" i="24"/>
  <c r="D101" i="24"/>
  <c r="C102" i="24"/>
  <c r="C101" i="24"/>
</calcChain>
</file>

<file path=xl/sharedStrings.xml><?xml version="1.0" encoding="utf-8"?>
<sst xmlns="http://schemas.openxmlformats.org/spreadsheetml/2006/main" count="350" uniqueCount="102">
  <si>
    <t>월</t>
    <phoneticPr fontId="1" type="noConversion"/>
  </si>
  <si>
    <t>주차</t>
    <phoneticPr fontId="1" type="noConversion"/>
  </si>
  <si>
    <t>일별</t>
  </si>
  <si>
    <t>노출수</t>
  </si>
  <si>
    <t>클릭수</t>
  </si>
  <si>
    <t>총비용(VAT포함,원)</t>
  </si>
  <si>
    <t>품목</t>
    <phoneticPr fontId="1" type="noConversion"/>
  </si>
  <si>
    <t>모델명</t>
  </si>
  <si>
    <t>모델명</t>
    <phoneticPr fontId="1" type="noConversion"/>
  </si>
  <si>
    <t xml:space="preserve"> CPC</t>
  </si>
  <si>
    <t xml:space="preserve"> CTR</t>
  </si>
  <si>
    <t>주차</t>
  </si>
  <si>
    <t xml:space="preserve"> 노출수</t>
  </si>
  <si>
    <t xml:space="preserve"> 클릭수</t>
  </si>
  <si>
    <t xml:space="preserve"> 비용(vat미포함)</t>
  </si>
  <si>
    <t>총합계</t>
  </si>
  <si>
    <t>구매전환수</t>
    <phoneticPr fontId="1" type="noConversion"/>
  </si>
  <si>
    <t>구매전환매출</t>
    <phoneticPr fontId="1" type="noConversion"/>
  </si>
  <si>
    <t>SOP</t>
    <phoneticPr fontId="1" type="noConversion"/>
  </si>
  <si>
    <t xml:space="preserve">구매전환수 </t>
  </si>
  <si>
    <t xml:space="preserve">구매전환매출 </t>
  </si>
  <si>
    <t>ROAS</t>
  </si>
  <si>
    <t>CVR</t>
  </si>
  <si>
    <t>광고유형</t>
  </si>
  <si>
    <t>광고유형</t>
    <phoneticPr fontId="1" type="noConversion"/>
  </si>
  <si>
    <t>CPM</t>
  </si>
  <si>
    <t>년도</t>
    <phoneticPr fontId="1" type="noConversion"/>
  </si>
  <si>
    <t>상품명</t>
    <phoneticPr fontId="1" type="noConversion"/>
  </si>
  <si>
    <t>상품코드</t>
    <phoneticPr fontId="1" type="noConversion"/>
  </si>
  <si>
    <t>상품코드</t>
    <phoneticPr fontId="1" type="noConversion"/>
  </si>
  <si>
    <t>캠페인명</t>
    <phoneticPr fontId="1" type="noConversion"/>
  </si>
  <si>
    <t>AD Voost 쇼핑</t>
  </si>
  <si>
    <t>주력품목</t>
    <phoneticPr fontId="1" type="noConversion"/>
  </si>
  <si>
    <t>**INDEX는 월별 미디어믹스 확인하여 작성</t>
    <phoneticPr fontId="1" type="noConversion"/>
  </si>
  <si>
    <t>*해당 INDEX를 기준으로 [RAW] 시트 內 모델명 VLOOK UP / 카탈로그 광고는 [카탈로그_SOP명] 으로 기재</t>
    <phoneticPr fontId="1" type="noConversion"/>
  </si>
  <si>
    <t>상품코드</t>
  </si>
  <si>
    <t>객단가</t>
  </si>
  <si>
    <t>CPA</t>
  </si>
  <si>
    <t>분류</t>
  </si>
  <si>
    <t>분류</t>
    <phoneticPr fontId="1" type="noConversion"/>
  </si>
  <si>
    <t>상품명</t>
  </si>
  <si>
    <t>(모두)</t>
  </si>
  <si>
    <t>2026년</t>
  </si>
  <si>
    <t>값</t>
  </si>
  <si>
    <t>전체  노출수</t>
  </si>
  <si>
    <t>전체  클릭수</t>
  </si>
  <si>
    <t>전체 CPM</t>
  </si>
  <si>
    <t>전체  CPC</t>
  </si>
  <si>
    <t>전체  CTR</t>
  </si>
  <si>
    <t>전체  비용(vat미포함)</t>
  </si>
  <si>
    <t xml:space="preserve">전체 구매전환수 </t>
  </si>
  <si>
    <t xml:space="preserve">전체 구매전환매출 </t>
  </si>
  <si>
    <t>전체 ROAS</t>
  </si>
  <si>
    <t>전체 CVR</t>
  </si>
  <si>
    <t>전체 객단가</t>
  </si>
  <si>
    <t>전체 CPA</t>
  </si>
  <si>
    <t>1. Daily 성과</t>
    <phoneticPr fontId="1" type="noConversion"/>
  </si>
  <si>
    <t>2. 모델별 성과</t>
    <phoneticPr fontId="1" type="noConversion"/>
  </si>
  <si>
    <t>비교</t>
    <phoneticPr fontId="1" type="noConversion"/>
  </si>
  <si>
    <t>ADVoost 쇼핑</t>
  </si>
  <si>
    <t>카탈로그</t>
  </si>
  <si>
    <t>ADVoost 쇼핑 요약</t>
  </si>
  <si>
    <t>카탈로그 요약</t>
  </si>
  <si>
    <t>캠페인명</t>
  </si>
  <si>
    <t>10월</t>
  </si>
  <si>
    <t>10월</t>
    <phoneticPr fontId="1" type="noConversion"/>
  </si>
  <si>
    <t>PC</t>
  </si>
  <si>
    <t>엔씨디지텍</t>
  </si>
  <si>
    <t>ADVoost 쇼핑_PC_엔씨디지텍</t>
  </si>
  <si>
    <t>[LIVE 335만+리뷰한컴+마우스] 삼성전자 갤럭시북6 프로 NT960XJG-K72A X7 32GB 노트북</t>
  </si>
  <si>
    <t>코잇</t>
  </si>
  <si>
    <t>(비어 있음)</t>
  </si>
  <si>
    <t>카탈로그</t>
    <phoneticPr fontId="1" type="noConversion"/>
  </si>
  <si>
    <t>유니씨앤씨</t>
  </si>
  <si>
    <t>유니씨앤씨</t>
    <phoneticPr fontId="1" type="noConversion"/>
  </si>
  <si>
    <t>CN~O2610PCuni_PR~mxdap_PH~promo_OB~awa_BS~oth_FS~loe</t>
  </si>
  <si>
    <t>■ 삼성전자 [PC] 품목 INDEX</t>
    <phoneticPr fontId="1" type="noConversion"/>
  </si>
  <si>
    <t>한사랑씨앤씨 </t>
  </si>
  <si>
    <t>엔씨디지텍 </t>
  </si>
  <si>
    <t>매크로네트웍 </t>
  </si>
  <si>
    <t>코인비엠에스 </t>
  </si>
  <si>
    <t>NT740VJQ-A38A </t>
  </si>
  <si>
    <t>NT740VJQ-A58A</t>
  </si>
  <si>
    <t>NT740VJQ-A51A</t>
  </si>
  <si>
    <t>NT750XHW-A51A</t>
  </si>
  <si>
    <t>NT940XJG-K51A</t>
  </si>
  <si>
    <t>NT960XHA-K51A</t>
  </si>
  <si>
    <t>NT960XJG-K51A</t>
  </si>
  <si>
    <t>NT960XJG-K72A</t>
  </si>
  <si>
    <t>NT750XQB-KC01B</t>
  </si>
  <si>
    <t>NT960QHA-K71AR</t>
  </si>
  <si>
    <t>북4</t>
  </si>
  <si>
    <t>북5</t>
  </si>
  <si>
    <t>북6</t>
  </si>
  <si>
    <t>북5 프로</t>
  </si>
  <si>
    <t>노트북</t>
    <phoneticPr fontId="1" type="noConversion"/>
  </si>
  <si>
    <t>PC</t>
    <phoneticPr fontId="1" type="noConversion"/>
  </si>
  <si>
    <t>카탈로그 판매</t>
  </si>
  <si>
    <t>10월1주차</t>
    <phoneticPr fontId="1" type="noConversion"/>
  </si>
  <si>
    <t>10월3주차</t>
  </si>
  <si>
    <t>카탈로그_유니씨앤씨</t>
    <phoneticPr fontId="1" type="noConversion"/>
  </si>
  <si>
    <t>10월4주차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</si>
</sst>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7" formatCode="#,##0_ "/>
    <numFmt numFmtId="183" formatCode="0.0%"/>
    <numFmt numFmtId="186" formatCode="yyyy/mm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scheme val="major"/>
    </font>
    <font>
      <sz val="10"/>
      <color theme="1"/>
      <name val="맑은 고딕"/>
      <family val="3"/>
      <scheme val="major"/>
    </font>
    <font>
      <b/>
      <sz val="10"/>
      <name val="맑은 고딕"/>
      <family val="3"/>
      <scheme val="maj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10" fontId="0" fillId="0" borderId="0" xfId="9" applyNumberFormat="1" applyFont="1">
      <alignment vertical="center"/>
    </xf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8" fillId="0" borderId="2" xfId="4" applyFont="1" applyBorder="1" applyAlignment="1">
      <alignment horizontal="center" vertical="center"/>
    </xf>
    <xf numFmtId="41" fontId="8" fillId="0" borderId="2" xfId="12" applyFont="1" applyFill="1" applyBorder="1" applyAlignment="1">
      <alignment horizontal="center" vertical="center"/>
    </xf>
    <xf numFmtId="186" fontId="8" fillId="0" borderId="3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8" fillId="0" borderId="2" xfId="4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9" fontId="8" fillId="0" borderId="0" xfId="9" applyFont="1" applyBorder="1">
      <alignment vertical="center"/>
    </xf>
    <xf numFmtId="0" fontId="8" fillId="0" borderId="0" xfId="0" applyFont="1" applyAlignment="1">
      <alignment horizontal="right" vertical="center"/>
    </xf>
    <xf numFmtId="0" fontId="8" fillId="0" borderId="1" xfId="0" pivotButton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83" fontId="14" fillId="0" borderId="1" xfId="0" applyNumberFormat="1" applyFont="1" applyBorder="1" applyAlignment="1">
      <alignment horizontal="center" vertical="center"/>
    </xf>
    <xf numFmtId="0" fontId="14" fillId="0" borderId="1" xfId="0" pivotButton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9" fillId="0" borderId="0" xfId="0" applyFont="1">
      <alignment vertical="center"/>
    </xf>
    <xf numFmtId="41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83" fontId="8" fillId="0" borderId="0" xfId="0" applyNumberFormat="1" applyFont="1" applyAlignment="1">
      <alignment horizontal="center" vertical="center"/>
    </xf>
    <xf numFmtId="9" fontId="9" fillId="5" borderId="5" xfId="0" applyNumberFormat="1" applyFont="1" applyFill="1" applyBorder="1" applyAlignment="1">
      <alignment horizontal="center" vertical="center"/>
    </xf>
    <xf numFmtId="177" fontId="9" fillId="5" borderId="8" xfId="0" applyNumberFormat="1" applyFont="1" applyFill="1" applyBorder="1" applyAlignment="1">
      <alignment horizontal="center" vertical="center"/>
    </xf>
    <xf numFmtId="9" fontId="9" fillId="5" borderId="6" xfId="0" applyNumberFormat="1" applyFont="1" applyFill="1" applyBorder="1" applyAlignment="1">
      <alignment horizontal="center" vertical="center"/>
    </xf>
    <xf numFmtId="177" fontId="9" fillId="5" borderId="9" xfId="0" applyNumberFormat="1" applyFont="1" applyFill="1" applyBorder="1" applyAlignment="1">
      <alignment horizontal="center" vertical="center"/>
    </xf>
    <xf numFmtId="9" fontId="8" fillId="0" borderId="0" xfId="9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8" fillId="0" borderId="0" xfId="9" applyFont="1">
      <alignment vertical="center"/>
    </xf>
    <xf numFmtId="9" fontId="9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41" fontId="8" fillId="0" borderId="0" xfId="0" applyNumberFormat="1" applyFont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0" fontId="12" fillId="4" borderId="1" xfId="0" applyNumberFormat="1" applyFont="1" applyFill="1" applyBorder="1" applyAlignment="1">
      <alignment horizontal="center" vertical="center"/>
    </xf>
    <xf numFmtId="3" fontId="8" fillId="0" borderId="0" xfId="0" applyNumberFormat="1" applyFont="1">
      <alignment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</cellXfs>
  <cellStyles count="13">
    <cellStyle name="백분율" xfId="9" builtinId="5"/>
    <cellStyle name="백분율 2" xfId="7" xr:uid="{00000000-0005-0000-0000-000000000000}"/>
    <cellStyle name="쉼표 [0] 2" xfId="8" xr:uid="{00000000-0005-0000-0000-000001000000}"/>
    <cellStyle name="쉼표 [0] 2 2" xfId="11" xr:uid="{00000000-0005-0000-0000-000001000000}"/>
    <cellStyle name="쉼표 [0] 2 2 2" xfId="12" xr:uid="{4FA49F00-01F8-4B43-A72E-65E7D1BC6CA2}"/>
    <cellStyle name="쉼표 [0] 3" xfId="5" xr:uid="{00000000-0005-0000-0000-000002000000}"/>
    <cellStyle name="쉼표 [0] 3 2" xfId="10" xr:uid="{00000000-0005-0000-0000-000002000000}"/>
    <cellStyle name="표준" xfId="0" builtinId="0"/>
    <cellStyle name="표준 2" xfId="6" xr:uid="{00000000-0005-0000-0000-000004000000}"/>
    <cellStyle name="표준 2 2" xfId="4" xr:uid="{00000000-0005-0000-0000-000005000000}"/>
    <cellStyle name="표준 3" xfId="1" xr:uid="{00000000-0005-0000-0000-000006000000}"/>
    <cellStyle name="표준 4 2" xfId="3" xr:uid="{00000000-0005-0000-0000-000007000000}"/>
    <cellStyle name="표준 6" xfId="2" xr:uid="{00000000-0005-0000-0000-000008000000}"/>
  </cellStyles>
  <dxfs count="612"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numFmt numFmtId="177" formatCode="#,##0_ "/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3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7" formatCode="#,##0_ "/>
    </dxf>
    <dxf>
      <numFmt numFmtId="177" formatCode="#,##0_ "/>
    </dxf>
    <dxf>
      <font>
        <b/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>
          <bgColor theme="0" tint="-0.249977111117893"/>
        </patternFill>
      </fill>
    </dxf>
    <dxf>
      <numFmt numFmtId="33" formatCode="_-* #,##0_-;\-* #,##0_-;_-* &quot;-&quot;_-;_-@_-"/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ill>
        <patternFill>
          <bgColor indexed="64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theme="0"/>
      </font>
      <fill>
        <patternFill patternType="solid">
          <fgColor indexed="64"/>
          <bgColor rgb="FFC0000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2" tint="-0.249977111117893"/>
        </patternFill>
      </fill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numFmt numFmtId="14" formatCode="0.00%"/>
    </dxf>
    <dxf>
      <numFmt numFmtId="14" formatCode="0.00%"/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numFmt numFmtId="177" formatCode="#,##0_ "/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3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7" formatCode="#,##0_ "/>
    </dxf>
    <dxf>
      <numFmt numFmtId="177" formatCode="#,##0_ "/>
    </dxf>
    <dxf>
      <font>
        <b/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>
          <bgColor theme="0" tint="-0.249977111117893"/>
        </patternFill>
      </fill>
    </dxf>
    <dxf>
      <numFmt numFmtId="33" formatCode="_-* #,##0_-;\-* #,##0_-;_-* &quot;-&quot;_-;_-@_-"/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ill>
        <patternFill>
          <bgColor indexed="64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theme="0"/>
      </font>
      <fill>
        <patternFill patternType="solid">
          <fgColor indexed="64"/>
          <bgColor rgb="FFC0000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2" tint="-0.249977111117893"/>
        </patternFill>
      </fill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numFmt numFmtId="14" formatCode="0.00%"/>
    </dxf>
    <dxf>
      <numFmt numFmtId="14" formatCode="0.00%"/>
    </dxf>
    <dxf>
      <numFmt numFmtId="177" formatCode="#,##0_ "/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numFmt numFmtId="177" formatCode="#,##0_ "/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3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7" formatCode="#,##0_ "/>
    </dxf>
    <dxf>
      <font>
        <b/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>
          <bgColor theme="0" tint="-0.249977111117893"/>
        </patternFill>
      </fill>
    </dxf>
    <dxf>
      <numFmt numFmtId="33" formatCode="_-* #,##0_-;\-* #,##0_-;_-* &quot;-&quot;_-;_-@_-"/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ill>
        <patternFill>
          <bgColor indexed="64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theme="0"/>
      </font>
      <fill>
        <patternFill patternType="solid">
          <fgColor indexed="64"/>
          <bgColor rgb="FFC0000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2" tint="-0.249977111117893"/>
        </patternFill>
      </fill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numFmt numFmtId="14" formatCode="0.00%"/>
    </dxf>
    <dxf>
      <numFmt numFmtId="14" formatCode="0.00%"/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3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7" formatCode="#,##0_ "/>
    </dxf>
    <dxf>
      <numFmt numFmtId="177" formatCode="#,##0_ "/>
    </dxf>
    <dxf>
      <font>
        <b/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>
          <bgColor theme="0" tint="-0.249977111117893"/>
        </patternFill>
      </fill>
    </dxf>
    <dxf>
      <numFmt numFmtId="33" formatCode="_-* #,##0_-;\-* #,##0_-;_-* &quot;-&quot;_-;_-@_-"/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ill>
        <patternFill>
          <bgColor indexed="64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theme="0"/>
      </font>
      <fill>
        <patternFill patternType="solid">
          <fgColor indexed="64"/>
          <bgColor rgb="FFC0000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2" tint="-0.249977111117893"/>
        </patternFill>
      </fill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numFmt numFmtId="14" formatCode="0.00%"/>
    </dxf>
    <dxf>
      <numFmt numFmtId="14" formatCode="0.00%"/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3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7" formatCode="#,##0_ "/>
    </dxf>
    <dxf>
      <numFmt numFmtId="177" formatCode="#,##0_ "/>
    </dxf>
    <dxf>
      <font>
        <b/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>
          <bgColor theme="0" tint="-0.249977111117893"/>
        </patternFill>
      </fill>
    </dxf>
    <dxf>
      <numFmt numFmtId="33" formatCode="_-* #,##0_-;\-* #,##0_-;_-* &quot;-&quot;_-;_-@_-"/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ill>
        <patternFill>
          <bgColor indexed="64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theme="0"/>
      </font>
      <fill>
        <patternFill patternType="solid">
          <fgColor indexed="64"/>
          <bgColor rgb="FFC0000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2" tint="-0.249977111117893"/>
        </patternFill>
      </fill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numFmt numFmtId="14" formatCode="0.00%"/>
    </dxf>
    <dxf>
      <numFmt numFmtId="14" formatCode="0.00%"/>
    </dxf>
    <dxf>
      <numFmt numFmtId="13" formatCode="0%"/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numFmt numFmtId="177" formatCode="#,##0_ "/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name val="맑은 고딕"/>
        <family val="3"/>
        <scheme val="maj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3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7" formatCode="#,##0_ "/>
    </dxf>
    <dxf>
      <numFmt numFmtId="177" formatCode="#,##0_ "/>
    </dxf>
    <dxf>
      <font>
        <b/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>
          <bgColor theme="0" tint="-0.249977111117893"/>
        </patternFill>
      </fill>
    </dxf>
    <dxf>
      <numFmt numFmtId="33" formatCode="_-* #,##0_-;\-* #,##0_-;_-* &quot;-&quot;_-;_-@_-"/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ill>
        <patternFill>
          <bgColor indexed="64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name val="SamsungOneKorean 400"/>
        <scheme val="none"/>
      </font>
    </dxf>
    <dxf>
      <font>
        <color theme="0"/>
      </font>
      <fill>
        <patternFill patternType="solid">
          <fgColor indexed="64"/>
          <bgColor rgb="FFC0000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2" tint="-0.249977111117893"/>
        </patternFill>
      </fill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font>
        <name val="SamsungOneKorean 400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numFmt numFmtId="14" formatCode="0.00%"/>
    </dxf>
    <dxf>
      <numFmt numFmtId="14" formatCode="0.00%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fill>
        <patternFill>
          <fgColor rgb="FFC2DBF0"/>
          <bgColor rgb="FFC6D2EC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8" tint="0.79998168889431442"/>
          <bgColor theme="8" tint="0.79995117038483843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theme="0" tint="-0.14996795556505021"/>
          <bgColor theme="2" tint="-9.9948118533890809E-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3743705557422"/>
          <bgColor theme="2" tint="-9.9948118533890809E-2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fill>
        <patternFill>
          <bgColor theme="0" tint="-4.9989318521683403E-2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5117038483843"/>
          <bgColor theme="7" tint="0.79998168889431442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solid">
          <fgColor theme="0" tint="-0.34998626667073579"/>
          <bgColor theme="2" tint="-9.9948118533890809E-2"/>
        </patternFill>
      </fill>
      <border>
        <bottom style="thin">
          <color theme="0" tint="-0.34998626667073579"/>
        </bottom>
      </border>
    </dxf>
    <dxf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</dxfs>
  <tableStyles count="2" defaultTableStyle="TableStyleMedium2" defaultPivotStyle="PivotStyleLight16">
    <tableStyle name="PivotStyleLight15 2 2" table="0" count="12" xr9:uid="{57D28399-70D1-43D3-84E3-94FCCA1A3AA0}">
      <tableStyleElement type="wholeTable" dxfId="611"/>
      <tableStyleElement type="headerRow" dxfId="610"/>
      <tableStyleElement type="totalRow" dxfId="609"/>
      <tableStyleElement type="firstRowStripe" dxfId="608"/>
      <tableStyleElement type="firstColumnStripe" dxfId="607"/>
      <tableStyleElement type="firstSubtotalColumn" dxfId="606"/>
      <tableStyleElement type="firstSubtotalRow" dxfId="605"/>
      <tableStyleElement type="secondSubtotalRow" dxfId="604"/>
      <tableStyleElement type="firstRowSubheading" dxfId="603"/>
      <tableStyleElement type="secondRowSubheading" dxfId="602"/>
      <tableStyleElement type="pageFieldLabels" dxfId="601"/>
      <tableStyleElement type="pageFieldValues" dxfId="600"/>
    </tableStyle>
    <tableStyle name="PivotStyleLight16 2" table="0" count="12" xr9:uid="{FE40A2EB-DFB9-4D76-AAA9-A13DC26528FB}">
      <tableStyleElement type="wholeTable" dxfId="599"/>
      <tableStyleElement type="headerRow" dxfId="598"/>
      <tableStyleElement type="totalRow" dxfId="597"/>
      <tableStyleElement type="firstRowStripe" dxfId="596"/>
      <tableStyleElement type="firstColumnStripe" dxfId="595"/>
      <tableStyleElement type="firstSubtotalColumn" dxfId="594"/>
      <tableStyleElement type="firstSubtotalRow" dxfId="593"/>
      <tableStyleElement type="secondSubtotalRow" dxfId="592"/>
      <tableStyleElement type="firstRowSubheading" dxfId="591"/>
      <tableStyleElement type="secondRowSubheading" dxfId="590"/>
      <tableStyleElement type="pageFieldLabels" dxfId="589"/>
      <tableStyleElement type="pageFieldValues" dxfId="588"/>
    </tableStyle>
  </tableStyles>
  <colors>
    <mruColors>
      <color rgb="FFC6D2EC"/>
      <color rgb="FFC2DBF0"/>
      <color rgb="FFCDE2F3"/>
      <color rgb="FFC6DEF2"/>
      <color rgb="FF3333FF"/>
      <color rgb="FF006600"/>
      <color rgb="FFC0C0C0"/>
      <color rgb="FFCC0066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1.252.119.199\media\&#49324;&#54924;\Synad\&#44305;&#44256;&#51652;&#54665;&#49345;&#54889;\Accumulated%20Performance%20Data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1.252.119.199\media\Documents%20and%20Settings\&#51060;&#49440;&#54868;\&#48148;&#53461;%20&#54868;&#47732;\NHN.Media%20Proposal.nhn.ver1.5.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IO&amp;GL"/>
      <sheetName val="합계"/>
      <sheetName val="전체단가표"/>
      <sheetName val="2010년 Movie DB"/>
      <sheetName val="다음"/>
      <sheetName val="조인스MSN"/>
      <sheetName val="Daum"/>
      <sheetName val=""/>
      <sheetName val="코드"/>
      <sheetName val="채널"/>
      <sheetName val="가격표"/>
      <sheetName val="앱디스코 매체제안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월간일정표"/>
      <sheetName val="NHN.Media Proposal.nhn.ver1.5"/>
      <sheetName val="인원_20001101"/>
      <sheetName val="MediaMix"/>
      <sheetName val="엔미즈_코리아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K" refreshedDate="46321.736969560188" missingItemsLimit="0" createdVersion="8" refreshedVersion="8" minRefreshableVersion="3" recordCount="160" xr:uid="{491801D4-8CB1-4BF5-AA83-D1EA18BED39D}">
  <cacheSource type="worksheet">
    <worksheetSource ref="A1:Q1048576" sheet="GFA_주간리포트_RAW"/>
  </cacheSource>
  <cacheFields count="25">
    <cacheField name="년도" numFmtId="0">
      <sharedItems containsBlank="1"/>
    </cacheField>
    <cacheField name="월" numFmtId="0">
      <sharedItems containsBlank="1"/>
    </cacheField>
    <cacheField name="주차" numFmtId="0">
      <sharedItems containsBlank="1" count="5">
        <s v="10월1주차"/>
        <s v="10월2주차"/>
        <s v="10월3주차"/>
        <s v="10월4주차"/>
        <m/>
      </sharedItems>
    </cacheField>
    <cacheField name="일별" numFmtId="14">
      <sharedItems containsNonDate="0" containsDate="1" containsString="0" containsBlank="1" minDate="2026-10-02T00:00:00" maxDate="2026-10-26T00:00:00" count="25">
        <d v="2026-10-04T00:00:00"/>
        <d v="2026-10-02T00:00:00"/>
        <d v="2026-10-03T00:00:00"/>
        <d v="2026-10-11T00:00:00"/>
        <d v="2026-10-10T00:00:00"/>
        <d v="2026-10-09T00:00:00"/>
        <d v="2026-10-08T00:00:00"/>
        <d v="2026-10-07T00:00:00"/>
        <d v="2026-10-06T00:00:00"/>
        <d v="2026-10-05T00:00:00"/>
        <d v="2026-10-18T00:00:00"/>
        <d v="2026-10-17T00:00:00"/>
        <d v="2026-10-16T00:00:00"/>
        <d v="2026-10-15T00:00:00"/>
        <d v="2026-10-14T00:00:00"/>
        <d v="2026-10-13T00:00:00"/>
        <d v="2026-10-12T00:00:00"/>
        <d v="2026-10-25T00:00:00"/>
        <d v="2026-10-24T00:00:00"/>
        <d v="2026-10-23T00:00:00"/>
        <d v="2026-10-22T00:00:00"/>
        <d v="2026-10-21T00:00:00"/>
        <d v="2026-10-20T00:00:00"/>
        <d v="2026-10-19T00:00:00"/>
        <m/>
      </sharedItems>
    </cacheField>
    <cacheField name="품목" numFmtId="0">
      <sharedItems containsBlank="1" count="2">
        <s v="PC"/>
        <m/>
      </sharedItems>
    </cacheField>
    <cacheField name="SOP" numFmtId="0">
      <sharedItems containsBlank="1" count="7">
        <s v="엔씨디지텍"/>
        <s v="코잇"/>
        <s v="매크로네트웍"/>
        <s v="유니씨앤씨"/>
        <s v="코인비엠에스"/>
        <s v="한사랑씨앤씨 "/>
        <m/>
      </sharedItems>
    </cacheField>
    <cacheField name="광고유형" numFmtId="0">
      <sharedItems containsBlank="1" count="3">
        <s v="ADVoost 쇼핑"/>
        <s v="카탈로그"/>
        <m/>
      </sharedItems>
    </cacheField>
    <cacheField name="캠페인명" numFmtId="0">
      <sharedItems containsBlank="1"/>
    </cacheField>
    <cacheField name="모델명" numFmtId="0">
      <sharedItems containsBlank="1" count="11">
        <s v="NT960XJG-K72A"/>
        <s v="NT750XQB-KC01B"/>
        <s v="NT960QHA-K71AR"/>
        <s v="카탈로그_유니씨앤씨"/>
        <s v="카탈로그_코인비엠에스"/>
        <s v="북6"/>
        <s v="북5"/>
        <s v="북5 프로"/>
        <s v="북4"/>
        <s v="카탈로그_한사랑씨앤씨 "/>
        <m/>
      </sharedItems>
    </cacheField>
    <cacheField name="상품코드" numFmtId="0">
      <sharedItems containsBlank="1" containsMixedTypes="1" containsNumber="1" containsInteger="1" minValue="10093514318" maxValue="13296468605" count="9">
        <n v="12924729061"/>
        <n v="12706110017"/>
        <n v="11253007478"/>
        <s v="카탈로그"/>
        <n v="13296468605"/>
        <n v="12700367240"/>
        <n v="11263131795"/>
        <n v="10093514318"/>
        <m/>
      </sharedItems>
    </cacheField>
    <cacheField name="상품명" numFmtId="0">
      <sharedItems containsBlank="1" count="12">
        <s v="[LIVE 335만+리뷰한컴+마우스] 삼성전자 갤럭시북6 프로 NT960XJG-K72A X7 32GB 노트북"/>
        <s v="삼성전자 갤럭시북4 엣지 NT750XQB-KC01B 16GB 256GB Win11탑재"/>
        <s v="삼성 갤럭시북5 프로360 NT960QHA-K71AR 그레이 32GB SSD1TB 노트북"/>
        <s v="카탈로그"/>
        <s v="[LIVE 321만+리뷰한컴+마우스] 삼성전자 갤럭시북6 프로 NT960XJG-K72A X7 32GB 노트북"/>
        <s v="삼성전자 갤럭시북6 NT760VJT-A71A 16GB 512GB 울트라7 고성능AI 노트북"/>
        <s v="[LIVE 327만+리뷰한컴+마우스] 삼성전자 갤럭시북6 프로 NT960XJG-K72A X7 32GB 노트북"/>
        <s v="삼성전자 갤럭시북5 NT750XHW-A71A 16GB 256GB 사무용 AI 노트북"/>
        <s v="삼성전자 갤럭시북5 프로 NT940XHA-K71AR 울트라7 32GB 윈도우 터치 노트북"/>
        <s v="삼성전자 갤럭시북4 NT750XGR-A71A i7 16GB 512GB 사무용 노트북"/>
        <s v="[혜택가 318만+리뷰한컴] 삼성전자 갤럭시북6 프로 NT960XJG-K72A X7 32GB 노트북"/>
        <m/>
      </sharedItems>
    </cacheField>
    <cacheField name="노출수" numFmtId="0">
      <sharedItems containsString="0" containsBlank="1" containsNumber="1" containsInteger="1" minValue="1336" maxValue="78779"/>
    </cacheField>
    <cacheField name="클릭수" numFmtId="0">
      <sharedItems containsString="0" containsBlank="1" containsNumber="1" containsInteger="1" minValue="0" maxValue="261"/>
    </cacheField>
    <cacheField name="총비용(VAT포함,원)" numFmtId="0">
      <sharedItems containsString="0" containsBlank="1" containsNumber="1" containsInteger="1" minValue="0" maxValue="214214"/>
    </cacheField>
    <cacheField name="구매전환수" numFmtId="0">
      <sharedItems containsString="0" containsBlank="1" containsNumber="1" containsInteger="1" minValue="0" maxValue="25"/>
    </cacheField>
    <cacheField name="구매전환매출" numFmtId="0">
      <sharedItems containsString="0" containsBlank="1" containsNumber="1" containsInteger="1" minValue="0" maxValue="34899000"/>
    </cacheField>
    <cacheField name="분류" numFmtId="0">
      <sharedItems containsNonDate="0" containsString="0" containsBlank="1" count="1">
        <m/>
      </sharedItems>
    </cacheField>
    <cacheField name="CPC" numFmtId="0" formula="IFERROR('총비용(VAT포함,원)'/클릭수,0)" databaseField="0"/>
    <cacheField name="CTR" numFmtId="0" formula="IFERROR(클릭수/노출수,0)" databaseField="0"/>
    <cacheField name="비용(vat미포함)" numFmtId="0" formula="'총비용(VAT포함,원)'/1.1" databaseField="0"/>
    <cacheField name="ROAS  " numFmtId="0" formula="구매전환매출/'비용(vat미포함)'" databaseField="0"/>
    <cacheField name="CVR  " numFmtId="0" formula="구매전환수/클릭수" databaseField="0"/>
    <cacheField name="CPM  " numFmtId="0" formula=" ('비용(vat미포함)'/노출수)*1000" databaseField="0"/>
    <cacheField name="객단가 " numFmtId="0" formula="구매전환매출/구매전환수" databaseField="0"/>
    <cacheField name="CPA " numFmtId="0" formula="'비용(vat미포함)'/구매전환수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K" refreshedDate="46321.736970138889" missingItemsLimit="0" createdVersion="8" refreshedVersion="8" minRefreshableVersion="3" recordCount="159" xr:uid="{AB8F647E-4ABB-4A99-A4D2-CDE80387E1D9}">
  <cacheSource type="worksheet">
    <worksheetSource ref="A1:Q3" sheet="GFA_주간리포트_RAW"/>
  </cacheSource>
  <cacheFields count="25">
    <cacheField name="년도" numFmtId="0">
      <sharedItems/>
    </cacheField>
    <cacheField name="월" numFmtId="0">
      <sharedItems/>
    </cacheField>
    <cacheField name="주차" numFmtId="0">
      <sharedItems count="4">
        <s v="10월1주차"/>
        <s v="10월2주차"/>
        <s v="10월3주차"/>
        <s v="10월4주차"/>
      </sharedItems>
    </cacheField>
    <cacheField name="일별" numFmtId="14">
      <sharedItems containsSemiMixedTypes="0" containsNonDate="0" containsDate="1" containsString="0" minDate="2026-10-02T00:00:00" maxDate="2026-10-26T00:00:00" count="24">
        <d v="2026-10-04T00:00:00"/>
        <d v="2026-10-02T00:00:00"/>
        <d v="2026-10-03T00:00:00"/>
        <d v="2026-10-11T00:00:00"/>
        <d v="2026-10-10T00:00:00"/>
        <d v="2026-10-09T00:00:00"/>
        <d v="2026-10-08T00:00:00"/>
        <d v="2026-10-07T00:00:00"/>
        <d v="2026-10-06T00:00:00"/>
        <d v="2026-10-05T00:00:00"/>
        <d v="2026-10-18T00:00:00"/>
        <d v="2026-10-17T00:00:00"/>
        <d v="2026-10-16T00:00:00"/>
        <d v="2026-10-15T00:00:00"/>
        <d v="2026-10-14T00:00:00"/>
        <d v="2026-10-13T00:00:00"/>
        <d v="2026-10-12T00:00:00"/>
        <d v="2026-10-25T00:00:00"/>
        <d v="2026-10-24T00:00:00"/>
        <d v="2026-10-23T00:00:00"/>
        <d v="2026-10-22T00:00:00"/>
        <d v="2026-10-21T00:00:00"/>
        <d v="2026-10-20T00:00:00"/>
        <d v="2026-10-19T00:00:00"/>
      </sharedItems>
    </cacheField>
    <cacheField name="품목" numFmtId="0">
      <sharedItems count="1">
        <s v="PC"/>
      </sharedItems>
    </cacheField>
    <cacheField name="SOP" numFmtId="0">
      <sharedItems count="6">
        <s v="엔씨디지텍"/>
        <s v="코잇"/>
        <s v="매크로네트웍"/>
        <s v="유니씨앤씨"/>
        <s v="코인비엠에스"/>
        <s v="한사랑씨앤씨 "/>
      </sharedItems>
    </cacheField>
    <cacheField name="광고유형" numFmtId="0">
      <sharedItems count="2">
        <s v="ADVoost 쇼핑"/>
        <s v="카탈로그"/>
      </sharedItems>
    </cacheField>
    <cacheField name="캠페인명" numFmtId="0">
      <sharedItems count="7">
        <s v="ADVoost 쇼핑_PC_엔씨디지텍"/>
        <s v="ADVoost 쇼핑_PC_코잇"/>
        <s v="ADVoost 쇼핑_PC_매크로네트웍"/>
        <s v="CN~O2610PCuni_PR~mxdap_PH~promo_OB~awa_BS~oth_FS~loe"/>
        <s v="CN~O2610PCcoin_PR~mxdap_PH~promo_OB~awa_BS~oth_FS~loe"/>
        <s v="ADVoost 쇼핑_PC_코인비엠에스"/>
        <s v="CN~O2610PChan_PR~mxdap_PH~promo_OB~awa_BS~oth_FS~loe"/>
      </sharedItems>
    </cacheField>
    <cacheField name="모델명" numFmtId="0">
      <sharedItems count="10">
        <s v="NT960XJG-K72A"/>
        <s v="NT750XQB-KC01B"/>
        <s v="NT960QHA-K71AR"/>
        <s v="카탈로그_유니씨앤씨"/>
        <s v="카탈로그_코인비엠에스"/>
        <s v="북6"/>
        <s v="북5"/>
        <s v="북5 프로"/>
        <s v="북4"/>
        <s v="카탈로그_한사랑씨앤씨 "/>
      </sharedItems>
    </cacheField>
    <cacheField name="상품코드" numFmtId="0">
      <sharedItems containsMixedTypes="1" containsNumber="1" containsInteger="1" minValue="10093514318" maxValue="13296468605" count="8">
        <n v="12924729061"/>
        <n v="12706110017"/>
        <n v="11253007478"/>
        <s v="카탈로그"/>
        <n v="13296468605"/>
        <n v="12700367240"/>
        <n v="11263131795"/>
        <n v="10093514318"/>
      </sharedItems>
    </cacheField>
    <cacheField name="상품명" numFmtId="0">
      <sharedItems/>
    </cacheField>
    <cacheField name="노출수" numFmtId="0">
      <sharedItems containsSemiMixedTypes="0" containsString="0" containsNumber="1" containsInteger="1" minValue="1336" maxValue="78779"/>
    </cacheField>
    <cacheField name="클릭수" numFmtId="0">
      <sharedItems containsSemiMixedTypes="0" containsString="0" containsNumber="1" containsInteger="1" minValue="0" maxValue="261"/>
    </cacheField>
    <cacheField name="총비용(VAT포함,원)" numFmtId="0">
      <sharedItems containsSemiMixedTypes="0" containsString="0" containsNumber="1" containsInteger="1" minValue="0" maxValue="214214"/>
    </cacheField>
    <cacheField name="구매전환수" numFmtId="0">
      <sharedItems containsSemiMixedTypes="0" containsString="0" containsNumber="1" containsInteger="1" minValue="0" maxValue="25"/>
    </cacheField>
    <cacheField name="구매전환매출" numFmtId="0">
      <sharedItems containsSemiMixedTypes="0" containsString="0" containsNumber="1" containsInteger="1" minValue="0" maxValue="34899000"/>
    </cacheField>
    <cacheField name="분류" numFmtId="0">
      <sharedItems containsNonDate="0" containsString="0" containsBlank="1"/>
    </cacheField>
    <cacheField name="CPC" numFmtId="0" formula="IFERROR('총비용(VAT포함,원)'/클릭수,0)" databaseField="0"/>
    <cacheField name="CTR" numFmtId="0" formula="IFERROR(클릭수/노출수,0)" databaseField="0"/>
    <cacheField name="비용(vat미포함)" numFmtId="0" formula="'총비용(VAT포함,원)'/1.1" databaseField="0"/>
    <cacheField name="ROAS  " numFmtId="0" formula="구매전환매출/'비용(vat미포함)'" databaseField="0"/>
    <cacheField name="CVR  " numFmtId="0" formula="구매전환수/클릭수" databaseField="0"/>
    <cacheField name="CPM  " numFmtId="0" formula=" ('비용(vat미포함)'/노출수)*1000" databaseField="0"/>
    <cacheField name="객단가 " numFmtId="0" formula="구매전환매출/구매전환수" databaseField="0"/>
    <cacheField name="CPA " numFmtId="0" formula="'비용(vat미포함)'/구매전환수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2026년"/>
    <s v="10월"/>
    <x v="0"/>
    <x v="0"/>
    <x v="0"/>
    <x v="0"/>
    <x v="0"/>
    <s v="ADVoost 쇼핑_PC_엔씨디지텍"/>
    <x v="0"/>
    <x v="0"/>
    <x v="0"/>
    <n v="16300"/>
    <n v="110"/>
    <n v="102898"/>
    <n v="0"/>
    <n v="0"/>
    <x v="0"/>
  </r>
  <r>
    <s v="2026년"/>
    <s v="10월"/>
    <x v="0"/>
    <x v="1"/>
    <x v="0"/>
    <x v="0"/>
    <x v="0"/>
    <s v="ADVoost 쇼핑_PC_엔씨디지텍"/>
    <x v="0"/>
    <x v="0"/>
    <x v="0"/>
    <n v="8038"/>
    <n v="41"/>
    <n v="48890"/>
    <n v="0"/>
    <n v="0"/>
    <x v="0"/>
  </r>
  <r>
    <s v="2026년"/>
    <s v="10월"/>
    <x v="0"/>
    <x v="0"/>
    <x v="0"/>
    <x v="1"/>
    <x v="0"/>
    <s v="ADVoost 쇼핑_PC_코잇"/>
    <x v="1"/>
    <x v="1"/>
    <x v="1"/>
    <n v="41154"/>
    <n v="92"/>
    <n v="102099"/>
    <n v="4"/>
    <n v="4875100"/>
    <x v="0"/>
  </r>
  <r>
    <s v="2026년"/>
    <s v="10월"/>
    <x v="0"/>
    <x v="2"/>
    <x v="0"/>
    <x v="1"/>
    <x v="0"/>
    <s v="ADVoost 쇼핑_PC_코잇"/>
    <x v="1"/>
    <x v="1"/>
    <x v="1"/>
    <n v="57805"/>
    <n v="86"/>
    <n v="113854"/>
    <n v="0"/>
    <n v="0"/>
    <x v="0"/>
  </r>
  <r>
    <s v="2026년"/>
    <s v="10월"/>
    <x v="0"/>
    <x v="1"/>
    <x v="0"/>
    <x v="1"/>
    <x v="0"/>
    <s v="ADVoost 쇼핑_PC_코잇"/>
    <x v="1"/>
    <x v="1"/>
    <x v="1"/>
    <n v="34319"/>
    <n v="73"/>
    <n v="111636"/>
    <n v="0"/>
    <n v="0"/>
    <x v="0"/>
  </r>
  <r>
    <s v="2026년"/>
    <s v="10월"/>
    <x v="0"/>
    <x v="0"/>
    <x v="0"/>
    <x v="2"/>
    <x v="0"/>
    <s v="ADVoost 쇼핑_PC_매크로네트웍"/>
    <x v="2"/>
    <x v="2"/>
    <x v="2"/>
    <n v="15160"/>
    <n v="90"/>
    <n v="110018"/>
    <n v="0"/>
    <n v="0"/>
    <x v="0"/>
  </r>
  <r>
    <s v="2026년"/>
    <s v="10월"/>
    <x v="0"/>
    <x v="2"/>
    <x v="0"/>
    <x v="2"/>
    <x v="0"/>
    <s v="ADVoost 쇼핑_PC_매크로네트웍"/>
    <x v="2"/>
    <x v="2"/>
    <x v="2"/>
    <n v="11694"/>
    <n v="75"/>
    <n v="113610"/>
    <n v="1"/>
    <n v="3728900"/>
    <x v="0"/>
  </r>
  <r>
    <s v="2026년"/>
    <s v="10월"/>
    <x v="0"/>
    <x v="1"/>
    <x v="0"/>
    <x v="2"/>
    <x v="0"/>
    <s v="ADVoost 쇼핑_PC_매크로네트웍"/>
    <x v="2"/>
    <x v="2"/>
    <x v="2"/>
    <n v="9685"/>
    <n v="48"/>
    <n v="76903"/>
    <n v="0"/>
    <n v="0"/>
    <x v="0"/>
  </r>
  <r>
    <s v="2026년"/>
    <s v="10월"/>
    <x v="0"/>
    <x v="0"/>
    <x v="0"/>
    <x v="3"/>
    <x v="1"/>
    <s v="CN~O2610PCuni_PR~mxdap_PH~promo_OB~awa_BS~oth_FS~loe"/>
    <x v="3"/>
    <x v="3"/>
    <x v="3"/>
    <n v="6472"/>
    <n v="84"/>
    <n v="67880"/>
    <n v="0"/>
    <n v="0"/>
    <x v="0"/>
  </r>
  <r>
    <s v="2026년"/>
    <s v="10월"/>
    <x v="0"/>
    <x v="2"/>
    <x v="0"/>
    <x v="3"/>
    <x v="1"/>
    <s v="CN~O2610PCuni_PR~mxdap_PH~promo_OB~awa_BS~oth_FS~loe"/>
    <x v="3"/>
    <x v="3"/>
    <x v="3"/>
    <n v="5787"/>
    <n v="63"/>
    <n v="54725"/>
    <n v="0"/>
    <n v="0"/>
    <x v="0"/>
  </r>
  <r>
    <s v="2026년"/>
    <s v="10월"/>
    <x v="0"/>
    <x v="1"/>
    <x v="0"/>
    <x v="3"/>
    <x v="1"/>
    <s v="CN~O2610PCuni_PR~mxdap_PH~promo_OB~awa_BS~oth_FS~loe"/>
    <x v="3"/>
    <x v="3"/>
    <x v="3"/>
    <n v="1336"/>
    <n v="27"/>
    <n v="26051"/>
    <n v="0"/>
    <n v="0"/>
    <x v="0"/>
  </r>
  <r>
    <s v="2026년"/>
    <s v="10월"/>
    <x v="1"/>
    <x v="3"/>
    <x v="0"/>
    <x v="0"/>
    <x v="0"/>
    <s v="ADVoost 쇼핑_PC_엔씨디지텍"/>
    <x v="0"/>
    <x v="0"/>
    <x v="4"/>
    <n v="50740"/>
    <n v="211"/>
    <n v="137108"/>
    <n v="0"/>
    <n v="0"/>
    <x v="0"/>
  </r>
  <r>
    <s v="2026년"/>
    <s v="10월"/>
    <x v="1"/>
    <x v="4"/>
    <x v="0"/>
    <x v="0"/>
    <x v="0"/>
    <s v="ADVoost 쇼핑_PC_엔씨디지텍"/>
    <x v="0"/>
    <x v="0"/>
    <x v="4"/>
    <n v="60389"/>
    <n v="219"/>
    <n v="143746"/>
    <n v="0"/>
    <n v="0"/>
    <x v="0"/>
  </r>
  <r>
    <s v="2026년"/>
    <s v="10월"/>
    <x v="1"/>
    <x v="5"/>
    <x v="0"/>
    <x v="0"/>
    <x v="0"/>
    <s v="ADVoost 쇼핑_PC_엔씨디지텍"/>
    <x v="0"/>
    <x v="0"/>
    <x v="4"/>
    <n v="47288"/>
    <n v="146"/>
    <n v="138204"/>
    <n v="0"/>
    <n v="0"/>
    <x v="0"/>
  </r>
  <r>
    <s v="2026년"/>
    <s v="10월"/>
    <x v="1"/>
    <x v="6"/>
    <x v="0"/>
    <x v="0"/>
    <x v="0"/>
    <s v="ADVoost 쇼핑_PC_엔씨디지텍"/>
    <x v="0"/>
    <x v="0"/>
    <x v="4"/>
    <n v="35848"/>
    <n v="153"/>
    <n v="146383"/>
    <n v="1"/>
    <n v="3464000"/>
    <x v="0"/>
  </r>
  <r>
    <s v="2026년"/>
    <s v="10월"/>
    <x v="1"/>
    <x v="7"/>
    <x v="0"/>
    <x v="0"/>
    <x v="0"/>
    <s v="ADVoost 쇼핑_PC_엔씨디지텍"/>
    <x v="0"/>
    <x v="0"/>
    <x v="4"/>
    <n v="24490"/>
    <n v="133"/>
    <n v="109414"/>
    <n v="0"/>
    <n v="0"/>
    <x v="0"/>
  </r>
  <r>
    <s v="2026년"/>
    <s v="10월"/>
    <x v="1"/>
    <x v="8"/>
    <x v="0"/>
    <x v="0"/>
    <x v="0"/>
    <s v="ADVoost 쇼핑_PC_엔씨디지텍"/>
    <x v="0"/>
    <x v="0"/>
    <x v="4"/>
    <n v="29017"/>
    <n v="173"/>
    <n v="110754"/>
    <n v="0"/>
    <n v="0"/>
    <x v="0"/>
  </r>
  <r>
    <s v="2026년"/>
    <s v="10월"/>
    <x v="1"/>
    <x v="9"/>
    <x v="0"/>
    <x v="0"/>
    <x v="0"/>
    <s v="ADVoost 쇼핑_PC_엔씨디지텍"/>
    <x v="0"/>
    <x v="0"/>
    <x v="4"/>
    <n v="21282"/>
    <n v="132"/>
    <n v="102611"/>
    <n v="1"/>
    <n v="3349000"/>
    <x v="0"/>
  </r>
  <r>
    <s v="2026년"/>
    <s v="10월"/>
    <x v="1"/>
    <x v="3"/>
    <x v="0"/>
    <x v="1"/>
    <x v="0"/>
    <s v="ADVoost 쇼핑_PC_코잇"/>
    <x v="1"/>
    <x v="1"/>
    <x v="1"/>
    <n v="59023"/>
    <n v="157"/>
    <n v="138591"/>
    <n v="1"/>
    <n v="1248000"/>
    <x v="0"/>
  </r>
  <r>
    <s v="2026년"/>
    <s v="10월"/>
    <x v="1"/>
    <x v="4"/>
    <x v="0"/>
    <x v="1"/>
    <x v="0"/>
    <s v="ADVoost 쇼핑_PC_코잇"/>
    <x v="1"/>
    <x v="1"/>
    <x v="1"/>
    <n v="65359"/>
    <n v="143"/>
    <n v="138420"/>
    <n v="6"/>
    <n v="7745000"/>
    <x v="0"/>
  </r>
  <r>
    <s v="2026년"/>
    <s v="10월"/>
    <x v="1"/>
    <x v="5"/>
    <x v="0"/>
    <x v="1"/>
    <x v="0"/>
    <s v="ADVoost 쇼핑_PC_코잇"/>
    <x v="1"/>
    <x v="1"/>
    <x v="1"/>
    <n v="64124"/>
    <n v="125"/>
    <n v="142450"/>
    <n v="0"/>
    <n v="0"/>
    <x v="0"/>
  </r>
  <r>
    <s v="2026년"/>
    <s v="10월"/>
    <x v="1"/>
    <x v="6"/>
    <x v="0"/>
    <x v="1"/>
    <x v="0"/>
    <s v="ADVoost 쇼핑_PC_코잇"/>
    <x v="1"/>
    <x v="1"/>
    <x v="1"/>
    <n v="34090"/>
    <n v="121"/>
    <n v="128582"/>
    <n v="0"/>
    <n v="0"/>
    <x v="0"/>
  </r>
  <r>
    <s v="2026년"/>
    <s v="10월"/>
    <x v="1"/>
    <x v="7"/>
    <x v="0"/>
    <x v="1"/>
    <x v="0"/>
    <s v="ADVoost 쇼핑_PC_코잇"/>
    <x v="1"/>
    <x v="1"/>
    <x v="1"/>
    <n v="61107"/>
    <n v="106"/>
    <n v="109737"/>
    <n v="3"/>
    <n v="3821400"/>
    <x v="0"/>
  </r>
  <r>
    <s v="2026년"/>
    <s v="10월"/>
    <x v="1"/>
    <x v="8"/>
    <x v="0"/>
    <x v="1"/>
    <x v="0"/>
    <s v="ADVoost 쇼핑_PC_코잇"/>
    <x v="1"/>
    <x v="1"/>
    <x v="1"/>
    <n v="74786"/>
    <n v="102"/>
    <n v="103986"/>
    <n v="1"/>
    <n v="1248000"/>
    <x v="0"/>
  </r>
  <r>
    <s v="2026년"/>
    <s v="10월"/>
    <x v="1"/>
    <x v="9"/>
    <x v="0"/>
    <x v="1"/>
    <x v="0"/>
    <s v="ADVoost 쇼핑_PC_코잇"/>
    <x v="1"/>
    <x v="1"/>
    <x v="1"/>
    <n v="78779"/>
    <n v="106"/>
    <n v="110514"/>
    <n v="2"/>
    <n v="2374100"/>
    <x v="0"/>
  </r>
  <r>
    <s v="2026년"/>
    <s v="10월"/>
    <x v="1"/>
    <x v="3"/>
    <x v="0"/>
    <x v="2"/>
    <x v="0"/>
    <s v="ADVoost 쇼핑_PC_매크로네트웍"/>
    <x v="2"/>
    <x v="2"/>
    <x v="2"/>
    <n v="25531"/>
    <n v="98"/>
    <n v="132962"/>
    <n v="1"/>
    <n v="3504550"/>
    <x v="0"/>
  </r>
  <r>
    <s v="2026년"/>
    <s v="10월"/>
    <x v="1"/>
    <x v="4"/>
    <x v="0"/>
    <x v="2"/>
    <x v="0"/>
    <s v="ADVoost 쇼핑_PC_매크로네트웍"/>
    <x v="2"/>
    <x v="2"/>
    <x v="2"/>
    <n v="28621"/>
    <n v="107"/>
    <n v="135764"/>
    <n v="0"/>
    <n v="0"/>
    <x v="0"/>
  </r>
  <r>
    <s v="2026년"/>
    <s v="10월"/>
    <x v="1"/>
    <x v="5"/>
    <x v="0"/>
    <x v="2"/>
    <x v="0"/>
    <s v="ADVoost 쇼핑_PC_매크로네트웍"/>
    <x v="2"/>
    <x v="2"/>
    <x v="2"/>
    <n v="26022"/>
    <n v="83"/>
    <n v="130716"/>
    <n v="0"/>
    <n v="0"/>
    <x v="0"/>
  </r>
  <r>
    <s v="2026년"/>
    <s v="10월"/>
    <x v="1"/>
    <x v="6"/>
    <x v="0"/>
    <x v="2"/>
    <x v="0"/>
    <s v="ADVoost 쇼핑_PC_매크로네트웍"/>
    <x v="2"/>
    <x v="2"/>
    <x v="2"/>
    <n v="17740"/>
    <n v="80"/>
    <n v="139102"/>
    <n v="0"/>
    <n v="0"/>
    <x v="0"/>
  </r>
  <r>
    <s v="2026년"/>
    <s v="10월"/>
    <x v="1"/>
    <x v="7"/>
    <x v="0"/>
    <x v="2"/>
    <x v="0"/>
    <s v="ADVoost 쇼핑_PC_매크로네트웍"/>
    <x v="2"/>
    <x v="2"/>
    <x v="2"/>
    <n v="13744"/>
    <n v="83"/>
    <n v="110593"/>
    <n v="0"/>
    <n v="0"/>
    <x v="0"/>
  </r>
  <r>
    <s v="2026년"/>
    <s v="10월"/>
    <x v="1"/>
    <x v="8"/>
    <x v="0"/>
    <x v="2"/>
    <x v="0"/>
    <s v="ADVoost 쇼핑_PC_매크로네트웍"/>
    <x v="2"/>
    <x v="2"/>
    <x v="2"/>
    <n v="16262"/>
    <n v="70"/>
    <n v="99852"/>
    <n v="1"/>
    <n v="3564450"/>
    <x v="0"/>
  </r>
  <r>
    <s v="2026년"/>
    <s v="10월"/>
    <x v="1"/>
    <x v="9"/>
    <x v="0"/>
    <x v="2"/>
    <x v="0"/>
    <s v="ADVoost 쇼핑_PC_매크로네트웍"/>
    <x v="2"/>
    <x v="2"/>
    <x v="2"/>
    <n v="16292"/>
    <n v="95"/>
    <n v="111202"/>
    <n v="0"/>
    <n v="0"/>
    <x v="0"/>
  </r>
  <r>
    <s v="2026년"/>
    <s v="10월"/>
    <x v="1"/>
    <x v="3"/>
    <x v="0"/>
    <x v="4"/>
    <x v="1"/>
    <s v="CN~O2610PCcoin_PR~mxdap_PH~promo_OB~awa_BS~oth_FS~loe"/>
    <x v="4"/>
    <x v="3"/>
    <x v="3"/>
    <n v="6859"/>
    <n v="93"/>
    <n v="105651"/>
    <n v="3"/>
    <n v="4866100"/>
    <x v="0"/>
  </r>
  <r>
    <s v="2026년"/>
    <s v="10월"/>
    <x v="1"/>
    <x v="4"/>
    <x v="0"/>
    <x v="4"/>
    <x v="1"/>
    <s v="CN~O2610PCcoin_PR~mxdap_PH~promo_OB~awa_BS~oth_FS~loe"/>
    <x v="4"/>
    <x v="3"/>
    <x v="3"/>
    <n v="6606"/>
    <n v="74"/>
    <n v="86180"/>
    <n v="1"/>
    <n v="1477900"/>
    <x v="0"/>
  </r>
  <r>
    <s v="2026년"/>
    <s v="10월"/>
    <x v="1"/>
    <x v="5"/>
    <x v="0"/>
    <x v="4"/>
    <x v="1"/>
    <s v="CN~O2610PCcoin_PR~mxdap_PH~promo_OB~awa_BS~oth_FS~loe"/>
    <x v="4"/>
    <x v="3"/>
    <x v="3"/>
    <n v="5426"/>
    <n v="82"/>
    <n v="103383"/>
    <n v="0"/>
    <n v="0"/>
    <x v="0"/>
  </r>
  <r>
    <s v="2026년"/>
    <s v="10월"/>
    <x v="1"/>
    <x v="6"/>
    <x v="0"/>
    <x v="4"/>
    <x v="1"/>
    <s v="CN~O2610PCcoin_PR~mxdap_PH~promo_OB~awa_BS~oth_FS~loe"/>
    <x v="4"/>
    <x v="3"/>
    <x v="3"/>
    <n v="5583"/>
    <n v="62"/>
    <n v="71434"/>
    <n v="0"/>
    <n v="0"/>
    <x v="0"/>
  </r>
  <r>
    <s v="2026년"/>
    <s v="10월"/>
    <x v="1"/>
    <x v="7"/>
    <x v="0"/>
    <x v="4"/>
    <x v="1"/>
    <s v="CN~O2610PCcoin_PR~mxdap_PH~promo_OB~awa_BS~oth_FS~loe"/>
    <x v="4"/>
    <x v="3"/>
    <x v="3"/>
    <n v="4777"/>
    <n v="65"/>
    <n v="65300"/>
    <n v="0"/>
    <n v="0"/>
    <x v="0"/>
  </r>
  <r>
    <s v="2026년"/>
    <s v="10월"/>
    <x v="1"/>
    <x v="8"/>
    <x v="0"/>
    <x v="4"/>
    <x v="1"/>
    <s v="CN~O2610PCcoin_PR~mxdap_PH~promo_OB~awa_BS~oth_FS~loe"/>
    <x v="4"/>
    <x v="3"/>
    <x v="3"/>
    <n v="2769"/>
    <n v="47"/>
    <n v="55713"/>
    <n v="0"/>
    <n v="0"/>
    <x v="0"/>
  </r>
  <r>
    <s v="2026년"/>
    <s v="10월"/>
    <x v="1"/>
    <x v="3"/>
    <x v="0"/>
    <x v="3"/>
    <x v="1"/>
    <s v="CN~O2610PCuni_PR~mxdap_PH~promo_OB~awa_BS~oth_FS~loe"/>
    <x v="3"/>
    <x v="3"/>
    <x v="3"/>
    <n v="10223"/>
    <n v="144"/>
    <n v="137117"/>
    <n v="0"/>
    <n v="0"/>
    <x v="0"/>
  </r>
  <r>
    <s v="2026년"/>
    <s v="10월"/>
    <x v="1"/>
    <x v="4"/>
    <x v="0"/>
    <x v="3"/>
    <x v="1"/>
    <s v="CN~O2610PCuni_PR~mxdap_PH~promo_OB~awa_BS~oth_FS~loe"/>
    <x v="3"/>
    <x v="3"/>
    <x v="3"/>
    <n v="12960"/>
    <n v="133"/>
    <n v="130053"/>
    <n v="1"/>
    <n v="1658680"/>
    <x v="0"/>
  </r>
  <r>
    <s v="2026년"/>
    <s v="10월"/>
    <x v="1"/>
    <x v="5"/>
    <x v="0"/>
    <x v="3"/>
    <x v="1"/>
    <s v="CN~O2610PCuni_PR~mxdap_PH~promo_OB~awa_BS~oth_FS~loe"/>
    <x v="3"/>
    <x v="3"/>
    <x v="3"/>
    <n v="10100"/>
    <n v="133"/>
    <n v="128921"/>
    <n v="0"/>
    <n v="0"/>
    <x v="0"/>
  </r>
  <r>
    <s v="2026년"/>
    <s v="10월"/>
    <x v="1"/>
    <x v="6"/>
    <x v="0"/>
    <x v="3"/>
    <x v="1"/>
    <s v="CN~O2610PCuni_PR~mxdap_PH~promo_OB~awa_BS~oth_FS~loe"/>
    <x v="3"/>
    <x v="3"/>
    <x v="3"/>
    <n v="9777"/>
    <n v="109"/>
    <n v="111441"/>
    <n v="1"/>
    <n v="1668680"/>
    <x v="0"/>
  </r>
  <r>
    <s v="2026년"/>
    <s v="10월"/>
    <x v="1"/>
    <x v="7"/>
    <x v="0"/>
    <x v="3"/>
    <x v="1"/>
    <s v="CN~O2610PCuni_PR~mxdap_PH~promo_OB~awa_BS~oth_FS~loe"/>
    <x v="3"/>
    <x v="3"/>
    <x v="3"/>
    <n v="9221"/>
    <n v="108"/>
    <n v="97581"/>
    <n v="0"/>
    <n v="0"/>
    <x v="0"/>
  </r>
  <r>
    <s v="2026년"/>
    <s v="10월"/>
    <x v="1"/>
    <x v="8"/>
    <x v="0"/>
    <x v="3"/>
    <x v="1"/>
    <s v="CN~O2610PCuni_PR~mxdap_PH~promo_OB~awa_BS~oth_FS~loe"/>
    <x v="3"/>
    <x v="3"/>
    <x v="3"/>
    <n v="5870"/>
    <n v="51"/>
    <n v="58183"/>
    <n v="1"/>
    <n v="2835800"/>
    <x v="0"/>
  </r>
  <r>
    <s v="2026년"/>
    <s v="10월"/>
    <x v="1"/>
    <x v="9"/>
    <x v="0"/>
    <x v="3"/>
    <x v="1"/>
    <s v="CN~O2610PCuni_PR~mxdap_PH~promo_OB~awa_BS~oth_FS~loe"/>
    <x v="3"/>
    <x v="3"/>
    <x v="3"/>
    <n v="8517"/>
    <n v="97"/>
    <n v="88919"/>
    <n v="2"/>
    <n v="2654100"/>
    <x v="0"/>
  </r>
  <r>
    <s v="2026년"/>
    <s v="10월"/>
    <x v="2"/>
    <x v="10"/>
    <x v="0"/>
    <x v="4"/>
    <x v="0"/>
    <s v="ADVoost 쇼핑_PC_코인비엠에스"/>
    <x v="5"/>
    <x v="4"/>
    <x v="5"/>
    <n v="29061"/>
    <n v="34"/>
    <n v="29425"/>
    <n v="0"/>
    <n v="0"/>
    <x v="0"/>
  </r>
  <r>
    <s v="2026년"/>
    <s v="10월"/>
    <x v="2"/>
    <x v="11"/>
    <x v="0"/>
    <x v="4"/>
    <x v="0"/>
    <s v="ADVoost 쇼핑_PC_코인비엠에스"/>
    <x v="5"/>
    <x v="4"/>
    <x v="5"/>
    <n v="32827"/>
    <n v="47"/>
    <n v="41921"/>
    <n v="0"/>
    <n v="0"/>
    <x v="0"/>
  </r>
  <r>
    <s v="2026년"/>
    <s v="10월"/>
    <x v="2"/>
    <x v="12"/>
    <x v="0"/>
    <x v="4"/>
    <x v="0"/>
    <s v="ADVoost 쇼핑_PC_코인비엠에스"/>
    <x v="5"/>
    <x v="4"/>
    <x v="5"/>
    <n v="34850"/>
    <n v="67"/>
    <n v="78739"/>
    <n v="0"/>
    <n v="0"/>
    <x v="0"/>
  </r>
  <r>
    <s v="2026년"/>
    <s v="10월"/>
    <x v="2"/>
    <x v="10"/>
    <x v="0"/>
    <x v="0"/>
    <x v="0"/>
    <s v="ADVoost 쇼핑_PC_엔씨디지텍"/>
    <x v="0"/>
    <x v="0"/>
    <x v="6"/>
    <n v="27621"/>
    <n v="158"/>
    <n v="144359"/>
    <n v="0"/>
    <n v="0"/>
    <x v="0"/>
  </r>
  <r>
    <s v="2026년"/>
    <s v="10월"/>
    <x v="2"/>
    <x v="11"/>
    <x v="0"/>
    <x v="0"/>
    <x v="0"/>
    <s v="ADVoost 쇼핑_PC_엔씨디지텍"/>
    <x v="0"/>
    <x v="0"/>
    <x v="6"/>
    <n v="32460"/>
    <n v="193"/>
    <n v="143452"/>
    <n v="2"/>
    <n v="7557000"/>
    <x v="0"/>
  </r>
  <r>
    <s v="2026년"/>
    <s v="10월"/>
    <x v="2"/>
    <x v="12"/>
    <x v="0"/>
    <x v="0"/>
    <x v="0"/>
    <s v="ADVoost 쇼핑_PC_엔씨디지텍"/>
    <x v="0"/>
    <x v="0"/>
    <x v="6"/>
    <n v="38180"/>
    <n v="228"/>
    <n v="135214"/>
    <n v="1"/>
    <n v="3903000"/>
    <x v="0"/>
  </r>
  <r>
    <s v="2026년"/>
    <s v="10월"/>
    <x v="2"/>
    <x v="13"/>
    <x v="0"/>
    <x v="0"/>
    <x v="0"/>
    <s v="ADVoost 쇼핑_PC_엔씨디지텍"/>
    <x v="0"/>
    <x v="0"/>
    <x v="6"/>
    <n v="31954"/>
    <n v="180"/>
    <n v="146128"/>
    <n v="0"/>
    <n v="0"/>
    <x v="0"/>
  </r>
  <r>
    <s v="2026년"/>
    <s v="10월"/>
    <x v="2"/>
    <x v="14"/>
    <x v="0"/>
    <x v="0"/>
    <x v="0"/>
    <s v="ADVoost 쇼핑_PC_엔씨디지텍"/>
    <x v="0"/>
    <x v="0"/>
    <x v="6"/>
    <n v="47308"/>
    <n v="217"/>
    <n v="145389"/>
    <n v="1"/>
    <n v="3536900"/>
    <x v="0"/>
  </r>
  <r>
    <s v="2026년"/>
    <s v="10월"/>
    <x v="2"/>
    <x v="15"/>
    <x v="0"/>
    <x v="0"/>
    <x v="0"/>
    <s v="ADVoost 쇼핑_PC_엔씨디지텍"/>
    <x v="0"/>
    <x v="0"/>
    <x v="6"/>
    <n v="29387"/>
    <n v="221"/>
    <n v="148618"/>
    <n v="1"/>
    <n v="3785000"/>
    <x v="0"/>
  </r>
  <r>
    <s v="2026년"/>
    <s v="10월"/>
    <x v="2"/>
    <x v="16"/>
    <x v="0"/>
    <x v="0"/>
    <x v="0"/>
    <s v="ADVoost 쇼핑_PC_엔씨디지텍"/>
    <x v="0"/>
    <x v="0"/>
    <x v="6"/>
    <n v="36277"/>
    <n v="188"/>
    <n v="146380"/>
    <n v="0"/>
    <n v="0"/>
    <x v="0"/>
  </r>
  <r>
    <s v="2026년"/>
    <s v="10월"/>
    <x v="2"/>
    <x v="10"/>
    <x v="0"/>
    <x v="1"/>
    <x v="0"/>
    <s v="ADVoost 쇼핑_PC_코잇"/>
    <x v="1"/>
    <x v="1"/>
    <x v="1"/>
    <n v="53393"/>
    <n v="165"/>
    <n v="140785"/>
    <n v="2"/>
    <n v="2577920"/>
    <x v="0"/>
  </r>
  <r>
    <s v="2026년"/>
    <s v="10월"/>
    <x v="2"/>
    <x v="11"/>
    <x v="0"/>
    <x v="1"/>
    <x v="0"/>
    <s v="ADVoost 쇼핑_PC_코잇"/>
    <x v="1"/>
    <x v="1"/>
    <x v="1"/>
    <n v="40931"/>
    <n v="137"/>
    <n v="138859"/>
    <n v="0"/>
    <n v="0"/>
    <x v="0"/>
  </r>
  <r>
    <s v="2026년"/>
    <s v="10월"/>
    <x v="2"/>
    <x v="12"/>
    <x v="0"/>
    <x v="1"/>
    <x v="0"/>
    <s v="ADVoost 쇼핑_PC_코잇"/>
    <x v="1"/>
    <x v="1"/>
    <x v="1"/>
    <n v="56312"/>
    <n v="143"/>
    <n v="142377"/>
    <n v="4"/>
    <n v="4976220"/>
    <x v="0"/>
  </r>
  <r>
    <s v="2026년"/>
    <s v="10월"/>
    <x v="2"/>
    <x v="13"/>
    <x v="0"/>
    <x v="1"/>
    <x v="0"/>
    <s v="ADVoost 쇼핑_PC_코잇"/>
    <x v="1"/>
    <x v="1"/>
    <x v="1"/>
    <n v="65753"/>
    <n v="143"/>
    <n v="137023"/>
    <n v="2"/>
    <n v="2226960"/>
    <x v="0"/>
  </r>
  <r>
    <s v="2026년"/>
    <s v="10월"/>
    <x v="2"/>
    <x v="14"/>
    <x v="0"/>
    <x v="1"/>
    <x v="0"/>
    <s v="ADVoost 쇼핑_PC_코잇"/>
    <x v="1"/>
    <x v="1"/>
    <x v="1"/>
    <n v="72808"/>
    <n v="177"/>
    <n v="137524"/>
    <n v="1"/>
    <n v="1427000"/>
    <x v="0"/>
  </r>
  <r>
    <s v="2026년"/>
    <s v="10월"/>
    <x v="2"/>
    <x v="15"/>
    <x v="0"/>
    <x v="1"/>
    <x v="0"/>
    <s v="ADVoost 쇼핑_PC_코잇"/>
    <x v="1"/>
    <x v="1"/>
    <x v="1"/>
    <n v="51005"/>
    <n v="148"/>
    <n v="138928"/>
    <n v="5"/>
    <n v="6154340"/>
    <x v="0"/>
  </r>
  <r>
    <s v="2026년"/>
    <s v="10월"/>
    <x v="2"/>
    <x v="16"/>
    <x v="0"/>
    <x v="1"/>
    <x v="0"/>
    <s v="ADVoost 쇼핑_PC_코잇"/>
    <x v="1"/>
    <x v="1"/>
    <x v="1"/>
    <n v="56540"/>
    <n v="191"/>
    <n v="137052"/>
    <n v="3"/>
    <n v="3570280"/>
    <x v="0"/>
  </r>
  <r>
    <s v="2026년"/>
    <s v="10월"/>
    <x v="2"/>
    <x v="10"/>
    <x v="0"/>
    <x v="4"/>
    <x v="0"/>
    <s v="ADVoost 쇼핑_PC_코인비엠에스"/>
    <x v="6"/>
    <x v="5"/>
    <x v="7"/>
    <n v="8885"/>
    <n v="16"/>
    <n v="10539"/>
    <n v="0"/>
    <n v="0"/>
    <x v="0"/>
  </r>
  <r>
    <s v="2026년"/>
    <s v="10월"/>
    <x v="2"/>
    <x v="11"/>
    <x v="0"/>
    <x v="4"/>
    <x v="0"/>
    <s v="ADVoost 쇼핑_PC_코인비엠에스"/>
    <x v="6"/>
    <x v="5"/>
    <x v="7"/>
    <n v="5513"/>
    <n v="24"/>
    <n v="20641"/>
    <n v="0"/>
    <n v="0"/>
    <x v="0"/>
  </r>
  <r>
    <s v="2026년"/>
    <s v="10월"/>
    <x v="2"/>
    <x v="12"/>
    <x v="0"/>
    <x v="4"/>
    <x v="0"/>
    <s v="ADVoost 쇼핑_PC_코인비엠에스"/>
    <x v="6"/>
    <x v="5"/>
    <x v="7"/>
    <n v="3463"/>
    <n v="19"/>
    <n v="37805"/>
    <n v="0"/>
    <n v="0"/>
    <x v="0"/>
  </r>
  <r>
    <s v="2026년"/>
    <s v="10월"/>
    <x v="2"/>
    <x v="10"/>
    <x v="0"/>
    <x v="4"/>
    <x v="0"/>
    <s v="ADVoost 쇼핑_PC_코인비엠에스"/>
    <x v="7"/>
    <x v="6"/>
    <x v="8"/>
    <n v="11871"/>
    <n v="27"/>
    <n v="39012"/>
    <n v="0"/>
    <n v="0"/>
    <x v="0"/>
  </r>
  <r>
    <s v="2026년"/>
    <s v="10월"/>
    <x v="2"/>
    <x v="11"/>
    <x v="0"/>
    <x v="4"/>
    <x v="0"/>
    <s v="ADVoost 쇼핑_PC_코인비엠에스"/>
    <x v="7"/>
    <x v="6"/>
    <x v="8"/>
    <n v="6554"/>
    <n v="35"/>
    <n v="52190"/>
    <n v="0"/>
    <n v="0"/>
    <x v="0"/>
  </r>
  <r>
    <s v="2026년"/>
    <s v="10월"/>
    <x v="2"/>
    <x v="12"/>
    <x v="0"/>
    <x v="4"/>
    <x v="0"/>
    <s v="ADVoost 쇼핑_PC_코인비엠에스"/>
    <x v="7"/>
    <x v="6"/>
    <x v="8"/>
    <n v="1967"/>
    <n v="0"/>
    <n v="0"/>
    <n v="0"/>
    <n v="0"/>
    <x v="0"/>
  </r>
  <r>
    <s v="2026년"/>
    <s v="10월"/>
    <x v="2"/>
    <x v="10"/>
    <x v="0"/>
    <x v="2"/>
    <x v="0"/>
    <s v="ADVoost 쇼핑_PC_매크로네트웍"/>
    <x v="2"/>
    <x v="2"/>
    <x v="2"/>
    <n v="15785"/>
    <n v="80"/>
    <n v="129490"/>
    <n v="1"/>
    <n v="3689000"/>
    <x v="0"/>
  </r>
  <r>
    <s v="2026년"/>
    <s v="10월"/>
    <x v="2"/>
    <x v="11"/>
    <x v="0"/>
    <x v="2"/>
    <x v="0"/>
    <s v="ADVoost 쇼핑_PC_매크로네트웍"/>
    <x v="2"/>
    <x v="2"/>
    <x v="2"/>
    <n v="18043"/>
    <n v="87"/>
    <n v="136798"/>
    <n v="0"/>
    <n v="0"/>
    <x v="0"/>
  </r>
  <r>
    <s v="2026년"/>
    <s v="10월"/>
    <x v="2"/>
    <x v="12"/>
    <x v="0"/>
    <x v="2"/>
    <x v="0"/>
    <s v="ADVoost 쇼핑_PC_매크로네트웍"/>
    <x v="2"/>
    <x v="2"/>
    <x v="2"/>
    <n v="28380"/>
    <n v="96"/>
    <n v="138378"/>
    <n v="0"/>
    <n v="0"/>
    <x v="0"/>
  </r>
  <r>
    <s v="2026년"/>
    <s v="10월"/>
    <x v="2"/>
    <x v="13"/>
    <x v="0"/>
    <x v="2"/>
    <x v="0"/>
    <s v="ADVoost 쇼핑_PC_매크로네트웍"/>
    <x v="2"/>
    <x v="2"/>
    <x v="2"/>
    <n v="16060"/>
    <n v="79"/>
    <n v="135493"/>
    <n v="0"/>
    <n v="0"/>
    <x v="0"/>
  </r>
  <r>
    <s v="2026년"/>
    <s v="10월"/>
    <x v="2"/>
    <x v="14"/>
    <x v="0"/>
    <x v="2"/>
    <x v="0"/>
    <s v="ADVoost 쇼핑_PC_매크로네트웍"/>
    <x v="2"/>
    <x v="2"/>
    <x v="2"/>
    <n v="21071"/>
    <n v="85"/>
    <n v="140942"/>
    <n v="1"/>
    <n v="3548900"/>
    <x v="0"/>
  </r>
  <r>
    <s v="2026년"/>
    <s v="10월"/>
    <x v="2"/>
    <x v="15"/>
    <x v="0"/>
    <x v="2"/>
    <x v="0"/>
    <s v="ADVoost 쇼핑_PC_매크로네트웍"/>
    <x v="2"/>
    <x v="2"/>
    <x v="2"/>
    <n v="24583"/>
    <n v="83"/>
    <n v="135681"/>
    <n v="0"/>
    <n v="0"/>
    <x v="0"/>
  </r>
  <r>
    <s v="2026년"/>
    <s v="10월"/>
    <x v="2"/>
    <x v="16"/>
    <x v="0"/>
    <x v="2"/>
    <x v="0"/>
    <s v="ADVoost 쇼핑_PC_매크로네트웍"/>
    <x v="2"/>
    <x v="2"/>
    <x v="2"/>
    <n v="26023"/>
    <n v="97"/>
    <n v="139172"/>
    <n v="2"/>
    <n v="7987000"/>
    <x v="0"/>
  </r>
  <r>
    <s v="2026년"/>
    <s v="10월"/>
    <x v="2"/>
    <x v="10"/>
    <x v="0"/>
    <x v="4"/>
    <x v="0"/>
    <s v="ADVoost 쇼핑_PC_코인비엠에스"/>
    <x v="8"/>
    <x v="7"/>
    <x v="9"/>
    <n v="70136"/>
    <n v="130"/>
    <n v="103577"/>
    <n v="3"/>
    <n v="4906000"/>
    <x v="0"/>
  </r>
  <r>
    <s v="2026년"/>
    <s v="10월"/>
    <x v="2"/>
    <x v="11"/>
    <x v="0"/>
    <x v="4"/>
    <x v="0"/>
    <s v="ADVoost 쇼핑_PC_코인비엠에스"/>
    <x v="8"/>
    <x v="7"/>
    <x v="9"/>
    <n v="33978"/>
    <n v="79"/>
    <n v="74601"/>
    <n v="1"/>
    <n v="1328160"/>
    <x v="0"/>
  </r>
  <r>
    <s v="2026년"/>
    <s v="10월"/>
    <x v="2"/>
    <x v="12"/>
    <x v="0"/>
    <x v="4"/>
    <x v="0"/>
    <s v="ADVoost 쇼핑_PC_코인비엠에스"/>
    <x v="8"/>
    <x v="7"/>
    <x v="9"/>
    <n v="25032"/>
    <n v="51"/>
    <n v="76942"/>
    <n v="2"/>
    <n v="3842000"/>
    <x v="0"/>
  </r>
  <r>
    <s v="2026년"/>
    <s v="10월"/>
    <x v="2"/>
    <x v="10"/>
    <x v="0"/>
    <x v="5"/>
    <x v="1"/>
    <s v="CN~O2610PChan_PR~mxdap_PH~promo_OB~awa_BS~oth_FS~loe"/>
    <x v="9"/>
    <x v="3"/>
    <x v="3"/>
    <n v="12389"/>
    <n v="112"/>
    <n v="114635"/>
    <n v="0"/>
    <n v="0"/>
    <x v="0"/>
  </r>
  <r>
    <s v="2026년"/>
    <s v="10월"/>
    <x v="2"/>
    <x v="11"/>
    <x v="0"/>
    <x v="5"/>
    <x v="1"/>
    <s v="CN~O2610PChan_PR~mxdap_PH~promo_OB~awa_BS~oth_FS~loe"/>
    <x v="9"/>
    <x v="3"/>
    <x v="3"/>
    <n v="11928"/>
    <n v="107"/>
    <n v="136053"/>
    <n v="1"/>
    <n v="1403600"/>
    <x v="0"/>
  </r>
  <r>
    <s v="2026년"/>
    <s v="10월"/>
    <x v="2"/>
    <x v="12"/>
    <x v="0"/>
    <x v="5"/>
    <x v="1"/>
    <s v="CN~O2610PChan_PR~mxdap_PH~promo_OB~awa_BS~oth_FS~loe"/>
    <x v="9"/>
    <x v="3"/>
    <x v="3"/>
    <n v="9906"/>
    <n v="89"/>
    <n v="106896"/>
    <n v="0"/>
    <n v="0"/>
    <x v="0"/>
  </r>
  <r>
    <s v="2026년"/>
    <s v="10월"/>
    <x v="2"/>
    <x v="13"/>
    <x v="0"/>
    <x v="5"/>
    <x v="1"/>
    <s v="CN~O2610PChan_PR~mxdap_PH~promo_OB~awa_BS~oth_FS~loe"/>
    <x v="9"/>
    <x v="3"/>
    <x v="3"/>
    <n v="9343"/>
    <n v="86"/>
    <n v="103424"/>
    <n v="0"/>
    <n v="0"/>
    <x v="0"/>
  </r>
  <r>
    <s v="2026년"/>
    <s v="10월"/>
    <x v="2"/>
    <x v="14"/>
    <x v="0"/>
    <x v="5"/>
    <x v="1"/>
    <s v="CN~O2610PChan_PR~mxdap_PH~promo_OB~awa_BS~oth_FS~loe"/>
    <x v="9"/>
    <x v="3"/>
    <x v="3"/>
    <n v="6496"/>
    <n v="80"/>
    <n v="94368"/>
    <n v="2"/>
    <n v="1898000"/>
    <x v="0"/>
  </r>
  <r>
    <s v="2026년"/>
    <s v="10월"/>
    <x v="2"/>
    <x v="15"/>
    <x v="0"/>
    <x v="5"/>
    <x v="1"/>
    <s v="CN~O2610PChan_PR~mxdap_PH~promo_OB~awa_BS~oth_FS~loe"/>
    <x v="9"/>
    <x v="3"/>
    <x v="3"/>
    <n v="6193"/>
    <n v="86"/>
    <n v="98593"/>
    <n v="1"/>
    <n v="949000"/>
    <x v="0"/>
  </r>
  <r>
    <s v="2026년"/>
    <s v="10월"/>
    <x v="2"/>
    <x v="16"/>
    <x v="0"/>
    <x v="5"/>
    <x v="1"/>
    <s v="CN~O2610PChan_PR~mxdap_PH~promo_OB~awa_BS~oth_FS~loe"/>
    <x v="9"/>
    <x v="3"/>
    <x v="3"/>
    <n v="2048"/>
    <n v="31"/>
    <n v="32271"/>
    <n v="0"/>
    <n v="0"/>
    <x v="0"/>
  </r>
  <r>
    <s v="2026년"/>
    <s v="10월"/>
    <x v="2"/>
    <x v="13"/>
    <x v="0"/>
    <x v="4"/>
    <x v="1"/>
    <s v="CN~O2610PCcoin_PR~mxdap_PH~promo_OB~awa_BS~oth_FS~loe"/>
    <x v="4"/>
    <x v="3"/>
    <x v="3"/>
    <n v="3832"/>
    <n v="49"/>
    <n v="55070"/>
    <n v="0"/>
    <n v="0"/>
    <x v="0"/>
  </r>
  <r>
    <s v="2026년"/>
    <s v="10월"/>
    <x v="2"/>
    <x v="14"/>
    <x v="0"/>
    <x v="4"/>
    <x v="1"/>
    <s v="CN~O2610PCcoin_PR~mxdap_PH~promo_OB~awa_BS~oth_FS~loe"/>
    <x v="4"/>
    <x v="3"/>
    <x v="3"/>
    <n v="9718"/>
    <n v="110"/>
    <n v="132516"/>
    <n v="0"/>
    <n v="0"/>
    <x v="0"/>
  </r>
  <r>
    <s v="2026년"/>
    <s v="10월"/>
    <x v="2"/>
    <x v="15"/>
    <x v="0"/>
    <x v="4"/>
    <x v="1"/>
    <s v="CN~O2610PCcoin_PR~mxdap_PH~promo_OB~awa_BS~oth_FS~loe"/>
    <x v="4"/>
    <x v="3"/>
    <x v="3"/>
    <n v="8998"/>
    <n v="94"/>
    <n v="116706"/>
    <n v="0"/>
    <n v="0"/>
    <x v="0"/>
  </r>
  <r>
    <s v="2026년"/>
    <s v="10월"/>
    <x v="2"/>
    <x v="16"/>
    <x v="0"/>
    <x v="4"/>
    <x v="1"/>
    <s v="CN~O2610PCcoin_PR~mxdap_PH~promo_OB~awa_BS~oth_FS~loe"/>
    <x v="4"/>
    <x v="3"/>
    <x v="3"/>
    <n v="9318"/>
    <n v="90"/>
    <n v="99296"/>
    <n v="2"/>
    <n v="3152320"/>
    <x v="0"/>
  </r>
  <r>
    <s v="2026년"/>
    <s v="10월"/>
    <x v="2"/>
    <x v="10"/>
    <x v="0"/>
    <x v="3"/>
    <x v="1"/>
    <s v="CN~O2610PCuni_PR~mxdap_PH~promo_OB~awa_BS~oth_FS~loe"/>
    <x v="3"/>
    <x v="3"/>
    <x v="3"/>
    <n v="15705"/>
    <n v="185"/>
    <n v="128167"/>
    <n v="0"/>
    <n v="0"/>
    <x v="0"/>
  </r>
  <r>
    <s v="2026년"/>
    <s v="10월"/>
    <x v="2"/>
    <x v="11"/>
    <x v="0"/>
    <x v="3"/>
    <x v="1"/>
    <s v="CN~O2610PCuni_PR~mxdap_PH~promo_OB~awa_BS~oth_FS~loe"/>
    <x v="3"/>
    <x v="3"/>
    <x v="3"/>
    <n v="13117"/>
    <n v="209"/>
    <n v="136516"/>
    <n v="0"/>
    <n v="0"/>
    <x v="0"/>
  </r>
  <r>
    <s v="2026년"/>
    <s v="10월"/>
    <x v="2"/>
    <x v="12"/>
    <x v="0"/>
    <x v="3"/>
    <x v="1"/>
    <s v="CN~O2610PCuni_PR~mxdap_PH~promo_OB~awa_BS~oth_FS~loe"/>
    <x v="3"/>
    <x v="3"/>
    <x v="3"/>
    <n v="13412"/>
    <n v="188"/>
    <n v="143409"/>
    <n v="0"/>
    <n v="0"/>
    <x v="0"/>
  </r>
  <r>
    <s v="2026년"/>
    <s v="10월"/>
    <x v="2"/>
    <x v="13"/>
    <x v="0"/>
    <x v="3"/>
    <x v="1"/>
    <s v="CN~O2610PCuni_PR~mxdap_PH~promo_OB~awa_BS~oth_FS~loe"/>
    <x v="3"/>
    <x v="3"/>
    <x v="3"/>
    <n v="14582"/>
    <n v="178"/>
    <n v="135043"/>
    <n v="0"/>
    <n v="0"/>
    <x v="0"/>
  </r>
  <r>
    <s v="2026년"/>
    <s v="10월"/>
    <x v="2"/>
    <x v="14"/>
    <x v="0"/>
    <x v="3"/>
    <x v="1"/>
    <s v="CN~O2610PCuni_PR~mxdap_PH~promo_OB~awa_BS~oth_FS~loe"/>
    <x v="3"/>
    <x v="3"/>
    <x v="3"/>
    <n v="14539"/>
    <n v="195"/>
    <n v="136637"/>
    <n v="1"/>
    <n v="1663680"/>
    <x v="0"/>
  </r>
  <r>
    <s v="2026년"/>
    <s v="10월"/>
    <x v="2"/>
    <x v="15"/>
    <x v="0"/>
    <x v="3"/>
    <x v="1"/>
    <s v="CN~O2610PCuni_PR~mxdap_PH~promo_OB~awa_BS~oth_FS~loe"/>
    <x v="3"/>
    <x v="3"/>
    <x v="3"/>
    <n v="12850"/>
    <n v="199"/>
    <n v="135236"/>
    <n v="0"/>
    <n v="0"/>
    <x v="0"/>
  </r>
  <r>
    <s v="2026년"/>
    <s v="10월"/>
    <x v="2"/>
    <x v="16"/>
    <x v="0"/>
    <x v="3"/>
    <x v="1"/>
    <s v="CN~O2610PCuni_PR~mxdap_PH~promo_OB~awa_BS~oth_FS~loe"/>
    <x v="3"/>
    <x v="3"/>
    <x v="3"/>
    <n v="14284"/>
    <n v="186"/>
    <n v="135321"/>
    <n v="0"/>
    <n v="0"/>
    <x v="0"/>
  </r>
  <r>
    <s v="2026년"/>
    <s v="10월"/>
    <x v="3"/>
    <x v="17"/>
    <x v="0"/>
    <x v="5"/>
    <x v="1"/>
    <s v="CN~O2610PChan_PR~mxdap_PH~promo_OB~awa_BS~oth_FS~loe"/>
    <x v="9"/>
    <x v="3"/>
    <x v="3"/>
    <n v="15980"/>
    <n v="130"/>
    <n v="163296"/>
    <n v="0"/>
    <n v="0"/>
    <x v="0"/>
  </r>
  <r>
    <s v="2026년"/>
    <s v="10월"/>
    <x v="3"/>
    <x v="18"/>
    <x v="0"/>
    <x v="5"/>
    <x v="1"/>
    <s v="CN~O2610PChan_PR~mxdap_PH~promo_OB~awa_BS~oth_FS~loe"/>
    <x v="9"/>
    <x v="3"/>
    <x v="3"/>
    <n v="14266"/>
    <n v="159"/>
    <n v="214214"/>
    <n v="0"/>
    <n v="0"/>
    <x v="0"/>
  </r>
  <r>
    <s v="2026년"/>
    <s v="10월"/>
    <x v="3"/>
    <x v="19"/>
    <x v="0"/>
    <x v="5"/>
    <x v="1"/>
    <s v="CN~O2610PChan_PR~mxdap_PH~promo_OB~awa_BS~oth_FS~loe"/>
    <x v="9"/>
    <x v="3"/>
    <x v="3"/>
    <n v="14542"/>
    <n v="118"/>
    <n v="172957"/>
    <n v="0"/>
    <n v="0"/>
    <x v="0"/>
  </r>
  <r>
    <s v="2026년"/>
    <s v="10월"/>
    <x v="3"/>
    <x v="20"/>
    <x v="0"/>
    <x v="5"/>
    <x v="1"/>
    <s v="CN~O2610PChan_PR~mxdap_PH~promo_OB~awa_BS~oth_FS~loe"/>
    <x v="9"/>
    <x v="3"/>
    <x v="3"/>
    <n v="20657"/>
    <n v="127"/>
    <n v="172239"/>
    <n v="0"/>
    <n v="0"/>
    <x v="0"/>
  </r>
  <r>
    <s v="2026년"/>
    <s v="10월"/>
    <x v="3"/>
    <x v="21"/>
    <x v="0"/>
    <x v="5"/>
    <x v="1"/>
    <s v="CN~O2610PChan_PR~mxdap_PH~promo_OB~awa_BS~oth_FS~loe"/>
    <x v="9"/>
    <x v="3"/>
    <x v="3"/>
    <n v="17307"/>
    <n v="124"/>
    <n v="156408"/>
    <n v="2"/>
    <n v="3176080"/>
    <x v="0"/>
  </r>
  <r>
    <s v="2026년"/>
    <s v="10월"/>
    <x v="3"/>
    <x v="22"/>
    <x v="0"/>
    <x v="5"/>
    <x v="1"/>
    <s v="CN~O2610PChan_PR~mxdap_PH~promo_OB~awa_BS~oth_FS~loe"/>
    <x v="9"/>
    <x v="3"/>
    <x v="3"/>
    <n v="18155"/>
    <n v="127"/>
    <n v="157522"/>
    <n v="2"/>
    <n v="2866160"/>
    <x v="0"/>
  </r>
  <r>
    <s v="2026년"/>
    <s v="10월"/>
    <x v="3"/>
    <x v="23"/>
    <x v="0"/>
    <x v="5"/>
    <x v="1"/>
    <s v="CN~O2610PChan_PR~mxdap_PH~promo_OB~awa_BS~oth_FS~loe"/>
    <x v="9"/>
    <x v="3"/>
    <x v="3"/>
    <n v="16400"/>
    <n v="122"/>
    <n v="146874"/>
    <n v="0"/>
    <n v="0"/>
    <x v="0"/>
  </r>
  <r>
    <s v="2026년"/>
    <s v="10월"/>
    <x v="3"/>
    <x v="17"/>
    <x v="0"/>
    <x v="3"/>
    <x v="1"/>
    <s v="CN~O2610PCuni_PR~mxdap_PH~promo_OB~awa_BS~oth_FS~loe"/>
    <x v="3"/>
    <x v="3"/>
    <x v="3"/>
    <n v="14708"/>
    <n v="190"/>
    <n v="156817"/>
    <n v="1"/>
    <n v="2889000"/>
    <x v="0"/>
  </r>
  <r>
    <s v="2026년"/>
    <s v="10월"/>
    <x v="3"/>
    <x v="18"/>
    <x v="0"/>
    <x v="3"/>
    <x v="1"/>
    <s v="CN~O2610PCuni_PR~mxdap_PH~promo_OB~awa_BS~oth_FS~loe"/>
    <x v="3"/>
    <x v="3"/>
    <x v="3"/>
    <n v="12874"/>
    <n v="187"/>
    <n v="159016"/>
    <n v="0"/>
    <n v="0"/>
    <x v="0"/>
  </r>
  <r>
    <s v="2026년"/>
    <s v="10월"/>
    <x v="3"/>
    <x v="19"/>
    <x v="0"/>
    <x v="3"/>
    <x v="1"/>
    <s v="CN~O2610PCuni_PR~mxdap_PH~promo_OB~awa_BS~oth_FS~loe"/>
    <x v="3"/>
    <x v="3"/>
    <x v="3"/>
    <n v="15095"/>
    <n v="150"/>
    <n v="158070"/>
    <n v="0"/>
    <n v="0"/>
    <x v="0"/>
  </r>
  <r>
    <s v="2026년"/>
    <s v="10월"/>
    <x v="3"/>
    <x v="20"/>
    <x v="0"/>
    <x v="3"/>
    <x v="1"/>
    <s v="CN~O2610PCuni_PR~mxdap_PH~promo_OB~awa_BS~oth_FS~loe"/>
    <x v="3"/>
    <x v="3"/>
    <x v="3"/>
    <n v="22500"/>
    <n v="222"/>
    <n v="173058"/>
    <n v="1"/>
    <n v="1552800"/>
    <x v="0"/>
  </r>
  <r>
    <s v="2026년"/>
    <s v="10월"/>
    <x v="3"/>
    <x v="21"/>
    <x v="0"/>
    <x v="3"/>
    <x v="1"/>
    <s v="CN~O2610PCuni_PR~mxdap_PH~promo_OB~awa_BS~oth_FS~loe"/>
    <x v="3"/>
    <x v="3"/>
    <x v="3"/>
    <n v="18514"/>
    <n v="234"/>
    <n v="174563"/>
    <n v="1"/>
    <n v="1398600"/>
    <x v="0"/>
  </r>
  <r>
    <s v="2026년"/>
    <s v="10월"/>
    <x v="3"/>
    <x v="22"/>
    <x v="0"/>
    <x v="3"/>
    <x v="1"/>
    <s v="CN~O2610PCuni_PR~mxdap_PH~promo_OB~awa_BS~oth_FS~loe"/>
    <x v="3"/>
    <x v="3"/>
    <x v="3"/>
    <n v="24751"/>
    <n v="261"/>
    <n v="156861"/>
    <n v="0"/>
    <n v="0"/>
    <x v="0"/>
  </r>
  <r>
    <s v="2026년"/>
    <s v="10월"/>
    <x v="3"/>
    <x v="23"/>
    <x v="0"/>
    <x v="3"/>
    <x v="1"/>
    <s v="CN~O2610PCuni_PR~mxdap_PH~promo_OB~awa_BS~oth_FS~loe"/>
    <x v="3"/>
    <x v="3"/>
    <x v="3"/>
    <n v="16451"/>
    <n v="197"/>
    <n v="143456"/>
    <n v="0"/>
    <n v="0"/>
    <x v="0"/>
  </r>
  <r>
    <s v="2026년"/>
    <s v="10월"/>
    <x v="3"/>
    <x v="17"/>
    <x v="0"/>
    <x v="4"/>
    <x v="0"/>
    <s v="ADVoost 쇼핑_PC_코인비엠에스"/>
    <x v="5"/>
    <x v="4"/>
    <x v="5"/>
    <n v="11427"/>
    <n v="20"/>
    <n v="19852"/>
    <n v="0"/>
    <n v="0"/>
    <x v="0"/>
  </r>
  <r>
    <s v="2026년"/>
    <s v="10월"/>
    <x v="3"/>
    <x v="18"/>
    <x v="0"/>
    <x v="4"/>
    <x v="0"/>
    <s v="ADVoost 쇼핑_PC_코인비엠에스"/>
    <x v="5"/>
    <x v="4"/>
    <x v="5"/>
    <n v="11949"/>
    <n v="29"/>
    <n v="35592"/>
    <n v="0"/>
    <n v="0"/>
    <x v="0"/>
  </r>
  <r>
    <s v="2026년"/>
    <s v="10월"/>
    <x v="3"/>
    <x v="19"/>
    <x v="0"/>
    <x v="4"/>
    <x v="0"/>
    <s v="ADVoost 쇼핑_PC_코인비엠에스"/>
    <x v="5"/>
    <x v="4"/>
    <x v="5"/>
    <n v="10565"/>
    <n v="47"/>
    <n v="46643"/>
    <n v="1"/>
    <n v="2298000"/>
    <x v="0"/>
  </r>
  <r>
    <s v="2026년"/>
    <s v="10월"/>
    <x v="3"/>
    <x v="20"/>
    <x v="0"/>
    <x v="4"/>
    <x v="0"/>
    <s v="ADVoost 쇼핑_PC_코인비엠에스"/>
    <x v="5"/>
    <x v="4"/>
    <x v="5"/>
    <n v="9503"/>
    <n v="37"/>
    <n v="33840"/>
    <n v="1"/>
    <n v="1295160"/>
    <x v="0"/>
  </r>
  <r>
    <s v="2026년"/>
    <s v="10월"/>
    <x v="3"/>
    <x v="21"/>
    <x v="0"/>
    <x v="4"/>
    <x v="0"/>
    <s v="ADVoost 쇼핑_PC_코인비엠에스"/>
    <x v="5"/>
    <x v="4"/>
    <x v="5"/>
    <n v="13404"/>
    <n v="29"/>
    <n v="23568"/>
    <n v="0"/>
    <n v="0"/>
    <x v="0"/>
  </r>
  <r>
    <s v="2026년"/>
    <s v="10월"/>
    <x v="3"/>
    <x v="22"/>
    <x v="0"/>
    <x v="4"/>
    <x v="0"/>
    <s v="ADVoost 쇼핑_PC_코인비엠에스"/>
    <x v="5"/>
    <x v="4"/>
    <x v="5"/>
    <n v="13658"/>
    <n v="36"/>
    <n v="29042"/>
    <n v="3"/>
    <n v="4903320"/>
    <x v="0"/>
  </r>
  <r>
    <s v="2026년"/>
    <s v="10월"/>
    <x v="3"/>
    <x v="23"/>
    <x v="0"/>
    <x v="4"/>
    <x v="0"/>
    <s v="ADVoost 쇼핑_PC_코인비엠에스"/>
    <x v="5"/>
    <x v="4"/>
    <x v="5"/>
    <n v="29997"/>
    <n v="42"/>
    <n v="36404"/>
    <n v="0"/>
    <n v="0"/>
    <x v="0"/>
  </r>
  <r>
    <s v="2026년"/>
    <s v="10월"/>
    <x v="3"/>
    <x v="17"/>
    <x v="0"/>
    <x v="0"/>
    <x v="0"/>
    <s v="ADVoost 쇼핑_PC_엔씨디지텍"/>
    <x v="0"/>
    <x v="0"/>
    <x v="10"/>
    <n v="32032"/>
    <n v="191"/>
    <n v="166409"/>
    <n v="1"/>
    <n v="3651000"/>
    <x v="0"/>
  </r>
  <r>
    <s v="2026년"/>
    <s v="10월"/>
    <x v="3"/>
    <x v="18"/>
    <x v="0"/>
    <x v="0"/>
    <x v="0"/>
    <s v="ADVoost 쇼핑_PC_엔씨디지텍"/>
    <x v="0"/>
    <x v="0"/>
    <x v="10"/>
    <n v="30371"/>
    <n v="176"/>
    <n v="163468"/>
    <n v="1"/>
    <n v="3900000"/>
    <x v="0"/>
  </r>
  <r>
    <s v="2026년"/>
    <s v="10월"/>
    <x v="3"/>
    <x v="19"/>
    <x v="0"/>
    <x v="0"/>
    <x v="0"/>
    <s v="ADVoost 쇼핑_PC_엔씨디지텍"/>
    <x v="0"/>
    <x v="0"/>
    <x v="10"/>
    <n v="27936"/>
    <n v="167"/>
    <n v="168381"/>
    <n v="1"/>
    <n v="3903000"/>
    <x v="0"/>
  </r>
  <r>
    <s v="2026년"/>
    <s v="10월"/>
    <x v="3"/>
    <x v="20"/>
    <x v="0"/>
    <x v="0"/>
    <x v="0"/>
    <s v="ADVoost 쇼핑_PC_엔씨디지텍"/>
    <x v="0"/>
    <x v="0"/>
    <x v="10"/>
    <n v="37489"/>
    <n v="198"/>
    <n v="164921"/>
    <n v="0"/>
    <n v="0"/>
    <x v="0"/>
  </r>
  <r>
    <s v="2026년"/>
    <s v="10월"/>
    <x v="3"/>
    <x v="21"/>
    <x v="0"/>
    <x v="0"/>
    <x v="0"/>
    <s v="ADVoost 쇼핑_PC_엔씨디지텍"/>
    <x v="0"/>
    <x v="0"/>
    <x v="10"/>
    <n v="32019"/>
    <n v="178"/>
    <n v="159848"/>
    <n v="3"/>
    <n v="10962000"/>
    <x v="0"/>
  </r>
  <r>
    <s v="2026년"/>
    <s v="10월"/>
    <x v="3"/>
    <x v="22"/>
    <x v="0"/>
    <x v="0"/>
    <x v="0"/>
    <s v="ADVoost 쇼핑_PC_엔씨디지텍"/>
    <x v="0"/>
    <x v="0"/>
    <x v="10"/>
    <n v="39132"/>
    <n v="184"/>
    <n v="147110"/>
    <n v="0"/>
    <n v="0"/>
    <x v="0"/>
  </r>
  <r>
    <s v="2026년"/>
    <s v="10월"/>
    <x v="3"/>
    <x v="23"/>
    <x v="0"/>
    <x v="0"/>
    <x v="0"/>
    <s v="ADVoost 쇼핑_PC_엔씨디지텍"/>
    <x v="0"/>
    <x v="0"/>
    <x v="10"/>
    <n v="33368"/>
    <n v="175"/>
    <n v="144054"/>
    <n v="0"/>
    <n v="0"/>
    <x v="0"/>
  </r>
  <r>
    <s v="2026년"/>
    <s v="10월"/>
    <x v="3"/>
    <x v="17"/>
    <x v="0"/>
    <x v="1"/>
    <x v="0"/>
    <s v="ADVoost 쇼핑_PC_코잇"/>
    <x v="1"/>
    <x v="1"/>
    <x v="1"/>
    <n v="36599"/>
    <n v="142"/>
    <n v="154837"/>
    <n v="2"/>
    <n v="2645900"/>
    <x v="0"/>
  </r>
  <r>
    <s v="2026년"/>
    <s v="10월"/>
    <x v="3"/>
    <x v="18"/>
    <x v="0"/>
    <x v="1"/>
    <x v="0"/>
    <s v="ADVoost 쇼핑_PC_코잇"/>
    <x v="1"/>
    <x v="1"/>
    <x v="1"/>
    <n v="77968"/>
    <n v="147"/>
    <n v="155431"/>
    <n v="1"/>
    <n v="1298000"/>
    <x v="0"/>
  </r>
  <r>
    <s v="2026년"/>
    <s v="10월"/>
    <x v="3"/>
    <x v="19"/>
    <x v="0"/>
    <x v="1"/>
    <x v="0"/>
    <s v="ADVoost 쇼핑_PC_코잇"/>
    <x v="1"/>
    <x v="1"/>
    <x v="1"/>
    <n v="43602"/>
    <n v="141"/>
    <n v="157898"/>
    <n v="4"/>
    <n v="4913000"/>
    <x v="0"/>
  </r>
  <r>
    <s v="2026년"/>
    <s v="10월"/>
    <x v="3"/>
    <x v="20"/>
    <x v="0"/>
    <x v="1"/>
    <x v="0"/>
    <s v="ADVoost 쇼핑_PC_코잇"/>
    <x v="1"/>
    <x v="1"/>
    <x v="1"/>
    <n v="50966"/>
    <n v="172"/>
    <n v="157982"/>
    <n v="0"/>
    <n v="0"/>
    <x v="0"/>
  </r>
  <r>
    <s v="2026년"/>
    <s v="10월"/>
    <x v="3"/>
    <x v="21"/>
    <x v="0"/>
    <x v="1"/>
    <x v="0"/>
    <s v="ADVoost 쇼핑_PC_코잇"/>
    <x v="1"/>
    <x v="1"/>
    <x v="1"/>
    <n v="25573"/>
    <n v="112"/>
    <n v="141978"/>
    <n v="1"/>
    <n v="1194060"/>
    <x v="0"/>
  </r>
  <r>
    <s v="2026년"/>
    <s v="10월"/>
    <x v="3"/>
    <x v="22"/>
    <x v="0"/>
    <x v="1"/>
    <x v="0"/>
    <s v="ADVoost 쇼핑_PC_코잇"/>
    <x v="1"/>
    <x v="1"/>
    <x v="1"/>
    <n v="53362"/>
    <n v="146"/>
    <n v="129371"/>
    <n v="4"/>
    <n v="4522320"/>
    <x v="0"/>
  </r>
  <r>
    <s v="2026년"/>
    <s v="10월"/>
    <x v="3"/>
    <x v="23"/>
    <x v="0"/>
    <x v="1"/>
    <x v="0"/>
    <s v="ADVoost 쇼핑_PC_코잇"/>
    <x v="1"/>
    <x v="1"/>
    <x v="1"/>
    <n v="58184"/>
    <n v="140"/>
    <n v="141661"/>
    <n v="5"/>
    <n v="5650380"/>
    <x v="0"/>
  </r>
  <r>
    <s v="2026년"/>
    <s v="10월"/>
    <x v="3"/>
    <x v="17"/>
    <x v="0"/>
    <x v="4"/>
    <x v="0"/>
    <s v="ADVoost 쇼핑_PC_코인비엠에스"/>
    <x v="6"/>
    <x v="5"/>
    <x v="7"/>
    <n v="6859"/>
    <n v="25"/>
    <n v="30773"/>
    <n v="0"/>
    <n v="0"/>
    <x v="0"/>
  </r>
  <r>
    <s v="2026년"/>
    <s v="10월"/>
    <x v="3"/>
    <x v="18"/>
    <x v="0"/>
    <x v="4"/>
    <x v="0"/>
    <s v="ADVoost 쇼핑_PC_코인비엠에스"/>
    <x v="6"/>
    <x v="5"/>
    <x v="7"/>
    <n v="7870"/>
    <n v="38"/>
    <n v="41658"/>
    <n v="2"/>
    <n v="3615800"/>
    <x v="0"/>
  </r>
  <r>
    <s v="2026년"/>
    <s v="10월"/>
    <x v="3"/>
    <x v="19"/>
    <x v="0"/>
    <x v="4"/>
    <x v="0"/>
    <s v="ADVoost 쇼핑_PC_코인비엠에스"/>
    <x v="6"/>
    <x v="5"/>
    <x v="7"/>
    <n v="6240"/>
    <n v="18"/>
    <n v="14238"/>
    <n v="0"/>
    <n v="0"/>
    <x v="0"/>
  </r>
  <r>
    <s v="2026년"/>
    <s v="10월"/>
    <x v="3"/>
    <x v="20"/>
    <x v="0"/>
    <x v="4"/>
    <x v="0"/>
    <s v="ADVoost 쇼핑_PC_코인비엠에스"/>
    <x v="6"/>
    <x v="5"/>
    <x v="7"/>
    <n v="8321"/>
    <n v="28"/>
    <n v="18405"/>
    <n v="1"/>
    <n v="2411000"/>
    <x v="0"/>
  </r>
  <r>
    <s v="2026년"/>
    <s v="10월"/>
    <x v="3"/>
    <x v="21"/>
    <x v="0"/>
    <x v="4"/>
    <x v="0"/>
    <s v="ADVoost 쇼핑_PC_코인비엠에스"/>
    <x v="6"/>
    <x v="5"/>
    <x v="7"/>
    <n v="8308"/>
    <n v="28"/>
    <n v="35708"/>
    <n v="0"/>
    <n v="0"/>
    <x v="0"/>
  </r>
  <r>
    <s v="2026년"/>
    <s v="10월"/>
    <x v="3"/>
    <x v="22"/>
    <x v="0"/>
    <x v="4"/>
    <x v="0"/>
    <s v="ADVoost 쇼핑_PC_코인비엠에스"/>
    <x v="6"/>
    <x v="5"/>
    <x v="7"/>
    <n v="8886"/>
    <n v="22"/>
    <n v="20622"/>
    <n v="1"/>
    <n v="2574900"/>
    <x v="0"/>
  </r>
  <r>
    <s v="2026년"/>
    <s v="10월"/>
    <x v="3"/>
    <x v="23"/>
    <x v="0"/>
    <x v="4"/>
    <x v="0"/>
    <s v="ADVoost 쇼핑_PC_코인비엠에스"/>
    <x v="6"/>
    <x v="5"/>
    <x v="7"/>
    <n v="7109"/>
    <n v="23"/>
    <n v="23946"/>
    <n v="0"/>
    <n v="0"/>
    <x v="0"/>
  </r>
  <r>
    <s v="2026년"/>
    <s v="10월"/>
    <x v="3"/>
    <x v="17"/>
    <x v="0"/>
    <x v="4"/>
    <x v="0"/>
    <s v="ADVoost 쇼핑_PC_코인비엠에스"/>
    <x v="7"/>
    <x v="6"/>
    <x v="8"/>
    <n v="11012"/>
    <n v="47"/>
    <n v="52048"/>
    <n v="0"/>
    <n v="0"/>
    <x v="0"/>
  </r>
  <r>
    <s v="2026년"/>
    <s v="10월"/>
    <x v="3"/>
    <x v="18"/>
    <x v="0"/>
    <x v="4"/>
    <x v="0"/>
    <s v="ADVoost 쇼핑_PC_코인비엠에스"/>
    <x v="7"/>
    <x v="6"/>
    <x v="8"/>
    <n v="12026"/>
    <n v="40"/>
    <n v="37079"/>
    <n v="0"/>
    <n v="0"/>
    <x v="0"/>
  </r>
  <r>
    <s v="2026년"/>
    <s v="10월"/>
    <x v="3"/>
    <x v="19"/>
    <x v="0"/>
    <x v="4"/>
    <x v="0"/>
    <s v="ADVoost 쇼핑_PC_코인비엠에스"/>
    <x v="7"/>
    <x v="6"/>
    <x v="8"/>
    <n v="11122"/>
    <n v="35"/>
    <n v="51266"/>
    <n v="0"/>
    <n v="0"/>
    <x v="0"/>
  </r>
  <r>
    <s v="2026년"/>
    <s v="10월"/>
    <x v="3"/>
    <x v="20"/>
    <x v="0"/>
    <x v="4"/>
    <x v="0"/>
    <s v="ADVoost 쇼핑_PC_코인비엠에스"/>
    <x v="7"/>
    <x v="6"/>
    <x v="8"/>
    <n v="13784"/>
    <n v="64"/>
    <n v="74046"/>
    <n v="0"/>
    <n v="0"/>
    <x v="0"/>
  </r>
  <r>
    <s v="2026년"/>
    <s v="10월"/>
    <x v="3"/>
    <x v="21"/>
    <x v="0"/>
    <x v="4"/>
    <x v="0"/>
    <s v="ADVoost 쇼핑_PC_코인비엠에스"/>
    <x v="7"/>
    <x v="6"/>
    <x v="8"/>
    <n v="10770"/>
    <n v="38"/>
    <n v="50894"/>
    <n v="0"/>
    <n v="0"/>
    <x v="0"/>
  </r>
  <r>
    <s v="2026년"/>
    <s v="10월"/>
    <x v="3"/>
    <x v="22"/>
    <x v="0"/>
    <x v="4"/>
    <x v="0"/>
    <s v="ADVoost 쇼핑_PC_코인비엠에스"/>
    <x v="7"/>
    <x v="6"/>
    <x v="8"/>
    <n v="10753"/>
    <n v="46"/>
    <n v="30688"/>
    <n v="2"/>
    <n v="13516000"/>
    <x v="0"/>
  </r>
  <r>
    <s v="2026년"/>
    <s v="10월"/>
    <x v="3"/>
    <x v="23"/>
    <x v="0"/>
    <x v="4"/>
    <x v="0"/>
    <s v="ADVoost 쇼핑_PC_코인비엠에스"/>
    <x v="7"/>
    <x v="6"/>
    <x v="8"/>
    <n v="9916"/>
    <n v="42"/>
    <n v="38207"/>
    <n v="2"/>
    <n v="6273000"/>
    <x v="0"/>
  </r>
  <r>
    <s v="2026년"/>
    <s v="10월"/>
    <x v="3"/>
    <x v="17"/>
    <x v="0"/>
    <x v="2"/>
    <x v="0"/>
    <s v="ADVoost 쇼핑_PC_매크로네트웍"/>
    <x v="2"/>
    <x v="2"/>
    <x v="2"/>
    <n v="20984"/>
    <n v="104"/>
    <n v="151373"/>
    <n v="0"/>
    <n v="0"/>
    <x v="0"/>
  </r>
  <r>
    <s v="2026년"/>
    <s v="10월"/>
    <x v="3"/>
    <x v="18"/>
    <x v="0"/>
    <x v="2"/>
    <x v="0"/>
    <s v="ADVoost 쇼핑_PC_매크로네트웍"/>
    <x v="2"/>
    <x v="2"/>
    <x v="2"/>
    <n v="17006"/>
    <n v="105"/>
    <n v="163201"/>
    <n v="0"/>
    <n v="0"/>
    <x v="0"/>
  </r>
  <r>
    <s v="2026년"/>
    <s v="10월"/>
    <x v="3"/>
    <x v="19"/>
    <x v="0"/>
    <x v="2"/>
    <x v="0"/>
    <s v="ADVoost 쇼핑_PC_매크로네트웍"/>
    <x v="2"/>
    <x v="2"/>
    <x v="2"/>
    <n v="19663"/>
    <n v="97"/>
    <n v="158101"/>
    <n v="2"/>
    <n v="7009100"/>
    <x v="0"/>
  </r>
  <r>
    <s v="2026년"/>
    <s v="10월"/>
    <x v="3"/>
    <x v="20"/>
    <x v="0"/>
    <x v="2"/>
    <x v="0"/>
    <s v="ADVoost 쇼핑_PC_매크로네트웍"/>
    <x v="2"/>
    <x v="2"/>
    <x v="2"/>
    <n v="20512"/>
    <n v="103"/>
    <n v="154646"/>
    <n v="0"/>
    <n v="0"/>
    <x v="0"/>
  </r>
  <r>
    <s v="2026년"/>
    <s v="10월"/>
    <x v="3"/>
    <x v="21"/>
    <x v="0"/>
    <x v="2"/>
    <x v="0"/>
    <s v="ADVoost 쇼핑_PC_매크로네트웍"/>
    <x v="2"/>
    <x v="2"/>
    <x v="2"/>
    <n v="23221"/>
    <n v="100"/>
    <n v="161196"/>
    <n v="1"/>
    <n v="3738800"/>
    <x v="0"/>
  </r>
  <r>
    <s v="2026년"/>
    <s v="10월"/>
    <x v="3"/>
    <x v="22"/>
    <x v="0"/>
    <x v="2"/>
    <x v="0"/>
    <s v="ADVoost 쇼핑_PC_매크로네트웍"/>
    <x v="2"/>
    <x v="2"/>
    <x v="2"/>
    <n v="20114"/>
    <n v="83"/>
    <n v="125870"/>
    <n v="0"/>
    <n v="0"/>
    <x v="0"/>
  </r>
  <r>
    <s v="2026년"/>
    <s v="10월"/>
    <x v="3"/>
    <x v="23"/>
    <x v="0"/>
    <x v="2"/>
    <x v="0"/>
    <s v="ADVoost 쇼핑_PC_매크로네트웍"/>
    <x v="2"/>
    <x v="2"/>
    <x v="2"/>
    <n v="19164"/>
    <n v="82"/>
    <n v="140486"/>
    <n v="1"/>
    <n v="3489000"/>
    <x v="0"/>
  </r>
  <r>
    <s v="2026년"/>
    <s v="10월"/>
    <x v="3"/>
    <x v="17"/>
    <x v="0"/>
    <x v="4"/>
    <x v="0"/>
    <s v="ADVoost 쇼핑_PC_코인비엠에스"/>
    <x v="8"/>
    <x v="7"/>
    <x v="9"/>
    <n v="36840"/>
    <n v="85"/>
    <n v="94681"/>
    <n v="0"/>
    <n v="0"/>
    <x v="0"/>
  </r>
  <r>
    <s v="2026년"/>
    <s v="10월"/>
    <x v="3"/>
    <x v="18"/>
    <x v="0"/>
    <x v="4"/>
    <x v="0"/>
    <s v="ADVoost 쇼핑_PC_코인비엠에스"/>
    <x v="8"/>
    <x v="7"/>
    <x v="9"/>
    <n v="32969"/>
    <n v="78"/>
    <n v="79985"/>
    <n v="1"/>
    <n v="1415000"/>
    <x v="0"/>
  </r>
  <r>
    <s v="2026년"/>
    <s v="10월"/>
    <x v="3"/>
    <x v="19"/>
    <x v="0"/>
    <x v="4"/>
    <x v="0"/>
    <s v="ADVoost 쇼핑_PC_코인비엠에스"/>
    <x v="8"/>
    <x v="7"/>
    <x v="9"/>
    <n v="40391"/>
    <n v="71"/>
    <n v="72733"/>
    <n v="1"/>
    <n v="1415000"/>
    <x v="0"/>
  </r>
  <r>
    <s v="2026년"/>
    <s v="10월"/>
    <x v="3"/>
    <x v="20"/>
    <x v="0"/>
    <x v="4"/>
    <x v="0"/>
    <s v="ADVoost 쇼핑_PC_코인비엠에스"/>
    <x v="8"/>
    <x v="7"/>
    <x v="9"/>
    <n v="32665"/>
    <n v="69"/>
    <n v="69262"/>
    <n v="3"/>
    <n v="4619060"/>
    <x v="0"/>
  </r>
  <r>
    <s v="2026년"/>
    <s v="10월"/>
    <x v="3"/>
    <x v="21"/>
    <x v="0"/>
    <x v="4"/>
    <x v="0"/>
    <s v="ADVoost 쇼핑_PC_코인비엠에스"/>
    <x v="8"/>
    <x v="7"/>
    <x v="9"/>
    <n v="36124"/>
    <n v="68"/>
    <n v="73037"/>
    <n v="4"/>
    <n v="5511640"/>
    <x v="0"/>
  </r>
  <r>
    <s v="2026년"/>
    <s v="10월"/>
    <x v="3"/>
    <x v="22"/>
    <x v="0"/>
    <x v="4"/>
    <x v="0"/>
    <s v="ADVoost 쇼핑_PC_코인비엠에스"/>
    <x v="8"/>
    <x v="7"/>
    <x v="9"/>
    <n v="34108"/>
    <n v="101"/>
    <n v="99469"/>
    <n v="10"/>
    <n v="15240340"/>
    <x v="0"/>
  </r>
  <r>
    <s v="2026년"/>
    <s v="10월"/>
    <x v="3"/>
    <x v="23"/>
    <x v="0"/>
    <x v="4"/>
    <x v="0"/>
    <s v="ADVoost 쇼핑_PC_코인비엠에스"/>
    <x v="8"/>
    <x v="7"/>
    <x v="9"/>
    <n v="69538"/>
    <n v="98"/>
    <n v="78866"/>
    <n v="25"/>
    <n v="34899000"/>
    <x v="0"/>
  </r>
  <r>
    <m/>
    <m/>
    <x v="4"/>
    <x v="24"/>
    <x v="1"/>
    <x v="6"/>
    <x v="2"/>
    <m/>
    <x v="10"/>
    <x v="8"/>
    <x v="11"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2026년"/>
    <s v="10월"/>
    <x v="0"/>
    <x v="0"/>
    <x v="0"/>
    <x v="0"/>
    <x v="0"/>
    <x v="0"/>
    <x v="0"/>
    <x v="0"/>
    <s v="[LIVE 335만+리뷰한컴+마우스] 삼성전자 갤럭시북6 프로 NT960XJG-K72A X7 32GB 노트북"/>
    <n v="16300"/>
    <n v="110"/>
    <n v="102898"/>
    <n v="0"/>
    <n v="0"/>
    <m/>
  </r>
  <r>
    <s v="2026년"/>
    <s v="10월"/>
    <x v="0"/>
    <x v="1"/>
    <x v="0"/>
    <x v="0"/>
    <x v="0"/>
    <x v="0"/>
    <x v="0"/>
    <x v="0"/>
    <s v="[LIVE 335만+리뷰한컴+마우스] 삼성전자 갤럭시북6 프로 NT960XJG-K72A X7 32GB 노트북"/>
    <n v="8038"/>
    <n v="41"/>
    <n v="48890"/>
    <n v="0"/>
    <n v="0"/>
    <m/>
  </r>
  <r>
    <s v="2026년"/>
    <s v="10월"/>
    <x v="0"/>
    <x v="0"/>
    <x v="0"/>
    <x v="1"/>
    <x v="0"/>
    <x v="1"/>
    <x v="1"/>
    <x v="1"/>
    <s v="삼성전자 갤럭시북4 엣지 NT750XQB-KC01B 16GB 256GB Win11탑재"/>
    <n v="41154"/>
    <n v="92"/>
    <n v="102099"/>
    <n v="4"/>
    <n v="4875100"/>
    <m/>
  </r>
  <r>
    <s v="2026년"/>
    <s v="10월"/>
    <x v="0"/>
    <x v="2"/>
    <x v="0"/>
    <x v="1"/>
    <x v="0"/>
    <x v="1"/>
    <x v="1"/>
    <x v="1"/>
    <s v="삼성전자 갤럭시북4 엣지 NT750XQB-KC01B 16GB 256GB Win11탑재"/>
    <n v="57805"/>
    <n v="86"/>
    <n v="113854"/>
    <n v="0"/>
    <n v="0"/>
    <m/>
  </r>
  <r>
    <s v="2026년"/>
    <s v="10월"/>
    <x v="0"/>
    <x v="1"/>
    <x v="0"/>
    <x v="1"/>
    <x v="0"/>
    <x v="1"/>
    <x v="1"/>
    <x v="1"/>
    <s v="삼성전자 갤럭시북4 엣지 NT750XQB-KC01B 16GB 256GB Win11탑재"/>
    <n v="34319"/>
    <n v="73"/>
    <n v="111636"/>
    <n v="0"/>
    <n v="0"/>
    <m/>
  </r>
  <r>
    <s v="2026년"/>
    <s v="10월"/>
    <x v="0"/>
    <x v="0"/>
    <x v="0"/>
    <x v="2"/>
    <x v="0"/>
    <x v="2"/>
    <x v="2"/>
    <x v="2"/>
    <s v="삼성 갤럭시북5 프로360 NT960QHA-K71AR 그레이 32GB SSD1TB 노트북"/>
    <n v="15160"/>
    <n v="90"/>
    <n v="110018"/>
    <n v="0"/>
    <n v="0"/>
    <m/>
  </r>
  <r>
    <s v="2026년"/>
    <s v="10월"/>
    <x v="0"/>
    <x v="2"/>
    <x v="0"/>
    <x v="2"/>
    <x v="0"/>
    <x v="2"/>
    <x v="2"/>
    <x v="2"/>
    <s v="삼성 갤럭시북5 프로360 NT960QHA-K71AR 그레이 32GB SSD1TB 노트북"/>
    <n v="11694"/>
    <n v="75"/>
    <n v="113610"/>
    <n v="1"/>
    <n v="3728900"/>
    <m/>
  </r>
  <r>
    <s v="2026년"/>
    <s v="10월"/>
    <x v="0"/>
    <x v="1"/>
    <x v="0"/>
    <x v="2"/>
    <x v="0"/>
    <x v="2"/>
    <x v="2"/>
    <x v="2"/>
    <s v="삼성 갤럭시북5 프로360 NT960QHA-K71AR 그레이 32GB SSD1TB 노트북"/>
    <n v="9685"/>
    <n v="48"/>
    <n v="76903"/>
    <n v="0"/>
    <n v="0"/>
    <m/>
  </r>
  <r>
    <s v="2026년"/>
    <s v="10월"/>
    <x v="0"/>
    <x v="0"/>
    <x v="0"/>
    <x v="3"/>
    <x v="1"/>
    <x v="3"/>
    <x v="3"/>
    <x v="3"/>
    <s v="카탈로그"/>
    <n v="6472"/>
    <n v="84"/>
    <n v="67880"/>
    <n v="0"/>
    <n v="0"/>
    <m/>
  </r>
  <r>
    <s v="2026년"/>
    <s v="10월"/>
    <x v="0"/>
    <x v="2"/>
    <x v="0"/>
    <x v="3"/>
    <x v="1"/>
    <x v="3"/>
    <x v="3"/>
    <x v="3"/>
    <s v="카탈로그"/>
    <n v="5787"/>
    <n v="63"/>
    <n v="54725"/>
    <n v="0"/>
    <n v="0"/>
    <m/>
  </r>
  <r>
    <s v="2026년"/>
    <s v="10월"/>
    <x v="0"/>
    <x v="1"/>
    <x v="0"/>
    <x v="3"/>
    <x v="1"/>
    <x v="3"/>
    <x v="3"/>
    <x v="3"/>
    <s v="카탈로그"/>
    <n v="1336"/>
    <n v="27"/>
    <n v="26051"/>
    <n v="0"/>
    <n v="0"/>
    <m/>
  </r>
  <r>
    <s v="2026년"/>
    <s v="10월"/>
    <x v="1"/>
    <x v="3"/>
    <x v="0"/>
    <x v="0"/>
    <x v="0"/>
    <x v="0"/>
    <x v="0"/>
    <x v="0"/>
    <s v="[LIVE 321만+리뷰한컴+마우스] 삼성전자 갤럭시북6 프로 NT960XJG-K72A X7 32GB 노트북"/>
    <n v="50740"/>
    <n v="211"/>
    <n v="137108"/>
    <n v="0"/>
    <n v="0"/>
    <m/>
  </r>
  <r>
    <s v="2026년"/>
    <s v="10월"/>
    <x v="1"/>
    <x v="4"/>
    <x v="0"/>
    <x v="0"/>
    <x v="0"/>
    <x v="0"/>
    <x v="0"/>
    <x v="0"/>
    <s v="[LIVE 321만+리뷰한컴+마우스] 삼성전자 갤럭시북6 프로 NT960XJG-K72A X7 32GB 노트북"/>
    <n v="60389"/>
    <n v="219"/>
    <n v="143746"/>
    <n v="0"/>
    <n v="0"/>
    <m/>
  </r>
  <r>
    <s v="2026년"/>
    <s v="10월"/>
    <x v="1"/>
    <x v="5"/>
    <x v="0"/>
    <x v="0"/>
    <x v="0"/>
    <x v="0"/>
    <x v="0"/>
    <x v="0"/>
    <s v="[LIVE 321만+리뷰한컴+마우스] 삼성전자 갤럭시북6 프로 NT960XJG-K72A X7 32GB 노트북"/>
    <n v="47288"/>
    <n v="146"/>
    <n v="138204"/>
    <n v="0"/>
    <n v="0"/>
    <m/>
  </r>
  <r>
    <s v="2026년"/>
    <s v="10월"/>
    <x v="1"/>
    <x v="6"/>
    <x v="0"/>
    <x v="0"/>
    <x v="0"/>
    <x v="0"/>
    <x v="0"/>
    <x v="0"/>
    <s v="[LIVE 321만+리뷰한컴+마우스] 삼성전자 갤럭시북6 프로 NT960XJG-K72A X7 32GB 노트북"/>
    <n v="35848"/>
    <n v="153"/>
    <n v="146383"/>
    <n v="1"/>
    <n v="3464000"/>
    <m/>
  </r>
  <r>
    <s v="2026년"/>
    <s v="10월"/>
    <x v="1"/>
    <x v="7"/>
    <x v="0"/>
    <x v="0"/>
    <x v="0"/>
    <x v="0"/>
    <x v="0"/>
    <x v="0"/>
    <s v="[LIVE 321만+리뷰한컴+마우스] 삼성전자 갤럭시북6 프로 NT960XJG-K72A X7 32GB 노트북"/>
    <n v="24490"/>
    <n v="133"/>
    <n v="109414"/>
    <n v="0"/>
    <n v="0"/>
    <m/>
  </r>
  <r>
    <s v="2026년"/>
    <s v="10월"/>
    <x v="1"/>
    <x v="8"/>
    <x v="0"/>
    <x v="0"/>
    <x v="0"/>
    <x v="0"/>
    <x v="0"/>
    <x v="0"/>
    <s v="[LIVE 321만+리뷰한컴+마우스] 삼성전자 갤럭시북6 프로 NT960XJG-K72A X7 32GB 노트북"/>
    <n v="29017"/>
    <n v="173"/>
    <n v="110754"/>
    <n v="0"/>
    <n v="0"/>
    <m/>
  </r>
  <r>
    <s v="2026년"/>
    <s v="10월"/>
    <x v="1"/>
    <x v="9"/>
    <x v="0"/>
    <x v="0"/>
    <x v="0"/>
    <x v="0"/>
    <x v="0"/>
    <x v="0"/>
    <s v="[LIVE 321만+리뷰한컴+마우스] 삼성전자 갤럭시북6 프로 NT960XJG-K72A X7 32GB 노트북"/>
    <n v="21282"/>
    <n v="132"/>
    <n v="102611"/>
    <n v="1"/>
    <n v="3349000"/>
    <m/>
  </r>
  <r>
    <s v="2026년"/>
    <s v="10월"/>
    <x v="1"/>
    <x v="3"/>
    <x v="0"/>
    <x v="1"/>
    <x v="0"/>
    <x v="1"/>
    <x v="1"/>
    <x v="1"/>
    <s v="삼성전자 갤럭시북4 엣지 NT750XQB-KC01B 16GB 256GB Win11탑재"/>
    <n v="59023"/>
    <n v="157"/>
    <n v="138591"/>
    <n v="1"/>
    <n v="1248000"/>
    <m/>
  </r>
  <r>
    <s v="2026년"/>
    <s v="10월"/>
    <x v="1"/>
    <x v="4"/>
    <x v="0"/>
    <x v="1"/>
    <x v="0"/>
    <x v="1"/>
    <x v="1"/>
    <x v="1"/>
    <s v="삼성전자 갤럭시북4 엣지 NT750XQB-KC01B 16GB 256GB Win11탑재"/>
    <n v="65359"/>
    <n v="143"/>
    <n v="138420"/>
    <n v="6"/>
    <n v="7745000"/>
    <m/>
  </r>
  <r>
    <s v="2026년"/>
    <s v="10월"/>
    <x v="1"/>
    <x v="5"/>
    <x v="0"/>
    <x v="1"/>
    <x v="0"/>
    <x v="1"/>
    <x v="1"/>
    <x v="1"/>
    <s v="삼성전자 갤럭시북4 엣지 NT750XQB-KC01B 16GB 256GB Win11탑재"/>
    <n v="64124"/>
    <n v="125"/>
    <n v="142450"/>
    <n v="0"/>
    <n v="0"/>
    <m/>
  </r>
  <r>
    <s v="2026년"/>
    <s v="10월"/>
    <x v="1"/>
    <x v="6"/>
    <x v="0"/>
    <x v="1"/>
    <x v="0"/>
    <x v="1"/>
    <x v="1"/>
    <x v="1"/>
    <s v="삼성전자 갤럭시북4 엣지 NT750XQB-KC01B 16GB 256GB Win11탑재"/>
    <n v="34090"/>
    <n v="121"/>
    <n v="128582"/>
    <n v="0"/>
    <n v="0"/>
    <m/>
  </r>
  <r>
    <s v="2026년"/>
    <s v="10월"/>
    <x v="1"/>
    <x v="7"/>
    <x v="0"/>
    <x v="1"/>
    <x v="0"/>
    <x v="1"/>
    <x v="1"/>
    <x v="1"/>
    <s v="삼성전자 갤럭시북4 엣지 NT750XQB-KC01B 16GB 256GB Win11탑재"/>
    <n v="61107"/>
    <n v="106"/>
    <n v="109737"/>
    <n v="3"/>
    <n v="3821400"/>
    <m/>
  </r>
  <r>
    <s v="2026년"/>
    <s v="10월"/>
    <x v="1"/>
    <x v="8"/>
    <x v="0"/>
    <x v="1"/>
    <x v="0"/>
    <x v="1"/>
    <x v="1"/>
    <x v="1"/>
    <s v="삼성전자 갤럭시북4 엣지 NT750XQB-KC01B 16GB 256GB Win11탑재"/>
    <n v="74786"/>
    <n v="102"/>
    <n v="103986"/>
    <n v="1"/>
    <n v="1248000"/>
    <m/>
  </r>
  <r>
    <s v="2026년"/>
    <s v="10월"/>
    <x v="1"/>
    <x v="9"/>
    <x v="0"/>
    <x v="1"/>
    <x v="0"/>
    <x v="1"/>
    <x v="1"/>
    <x v="1"/>
    <s v="삼성전자 갤럭시북4 엣지 NT750XQB-KC01B 16GB 256GB Win11탑재"/>
    <n v="78779"/>
    <n v="106"/>
    <n v="110514"/>
    <n v="2"/>
    <n v="2374100"/>
    <m/>
  </r>
  <r>
    <s v="2026년"/>
    <s v="10월"/>
    <x v="1"/>
    <x v="3"/>
    <x v="0"/>
    <x v="2"/>
    <x v="0"/>
    <x v="2"/>
    <x v="2"/>
    <x v="2"/>
    <s v="삼성 갤럭시북5 프로360 NT960QHA-K71AR 그레이 32GB SSD1TB 노트북"/>
    <n v="25531"/>
    <n v="98"/>
    <n v="132962"/>
    <n v="1"/>
    <n v="3504550"/>
    <m/>
  </r>
  <r>
    <s v="2026년"/>
    <s v="10월"/>
    <x v="1"/>
    <x v="4"/>
    <x v="0"/>
    <x v="2"/>
    <x v="0"/>
    <x v="2"/>
    <x v="2"/>
    <x v="2"/>
    <s v="삼성 갤럭시북5 프로360 NT960QHA-K71AR 그레이 32GB SSD1TB 노트북"/>
    <n v="28621"/>
    <n v="107"/>
    <n v="135764"/>
    <n v="0"/>
    <n v="0"/>
    <m/>
  </r>
  <r>
    <s v="2026년"/>
    <s v="10월"/>
    <x v="1"/>
    <x v="5"/>
    <x v="0"/>
    <x v="2"/>
    <x v="0"/>
    <x v="2"/>
    <x v="2"/>
    <x v="2"/>
    <s v="삼성 갤럭시북5 프로360 NT960QHA-K71AR 그레이 32GB SSD1TB 노트북"/>
    <n v="26022"/>
    <n v="83"/>
    <n v="130716"/>
    <n v="0"/>
    <n v="0"/>
    <m/>
  </r>
  <r>
    <s v="2026년"/>
    <s v="10월"/>
    <x v="1"/>
    <x v="6"/>
    <x v="0"/>
    <x v="2"/>
    <x v="0"/>
    <x v="2"/>
    <x v="2"/>
    <x v="2"/>
    <s v="삼성 갤럭시북5 프로360 NT960QHA-K71AR 그레이 32GB SSD1TB 노트북"/>
    <n v="17740"/>
    <n v="80"/>
    <n v="139102"/>
    <n v="0"/>
    <n v="0"/>
    <m/>
  </r>
  <r>
    <s v="2026년"/>
    <s v="10월"/>
    <x v="1"/>
    <x v="7"/>
    <x v="0"/>
    <x v="2"/>
    <x v="0"/>
    <x v="2"/>
    <x v="2"/>
    <x v="2"/>
    <s v="삼성 갤럭시북5 프로360 NT960QHA-K71AR 그레이 32GB SSD1TB 노트북"/>
    <n v="13744"/>
    <n v="83"/>
    <n v="110593"/>
    <n v="0"/>
    <n v="0"/>
    <m/>
  </r>
  <r>
    <s v="2026년"/>
    <s v="10월"/>
    <x v="1"/>
    <x v="8"/>
    <x v="0"/>
    <x v="2"/>
    <x v="0"/>
    <x v="2"/>
    <x v="2"/>
    <x v="2"/>
    <s v="삼성 갤럭시북5 프로360 NT960QHA-K71AR 그레이 32GB SSD1TB 노트북"/>
    <n v="16262"/>
    <n v="70"/>
    <n v="99852"/>
    <n v="1"/>
    <n v="3564450"/>
    <m/>
  </r>
  <r>
    <s v="2026년"/>
    <s v="10월"/>
    <x v="1"/>
    <x v="9"/>
    <x v="0"/>
    <x v="2"/>
    <x v="0"/>
    <x v="2"/>
    <x v="2"/>
    <x v="2"/>
    <s v="삼성 갤럭시북5 프로360 NT960QHA-K71AR 그레이 32GB SSD1TB 노트북"/>
    <n v="16292"/>
    <n v="95"/>
    <n v="111202"/>
    <n v="0"/>
    <n v="0"/>
    <m/>
  </r>
  <r>
    <s v="2026년"/>
    <s v="10월"/>
    <x v="1"/>
    <x v="3"/>
    <x v="0"/>
    <x v="4"/>
    <x v="1"/>
    <x v="4"/>
    <x v="4"/>
    <x v="3"/>
    <s v="카탈로그"/>
    <n v="6859"/>
    <n v="93"/>
    <n v="105651"/>
    <n v="3"/>
    <n v="4866100"/>
    <m/>
  </r>
  <r>
    <s v="2026년"/>
    <s v="10월"/>
    <x v="1"/>
    <x v="4"/>
    <x v="0"/>
    <x v="4"/>
    <x v="1"/>
    <x v="4"/>
    <x v="4"/>
    <x v="3"/>
    <s v="카탈로그"/>
    <n v="6606"/>
    <n v="74"/>
    <n v="86180"/>
    <n v="1"/>
    <n v="1477900"/>
    <m/>
  </r>
  <r>
    <s v="2026년"/>
    <s v="10월"/>
    <x v="1"/>
    <x v="5"/>
    <x v="0"/>
    <x v="4"/>
    <x v="1"/>
    <x v="4"/>
    <x v="4"/>
    <x v="3"/>
    <s v="카탈로그"/>
    <n v="5426"/>
    <n v="82"/>
    <n v="103383"/>
    <n v="0"/>
    <n v="0"/>
    <m/>
  </r>
  <r>
    <s v="2026년"/>
    <s v="10월"/>
    <x v="1"/>
    <x v="6"/>
    <x v="0"/>
    <x v="4"/>
    <x v="1"/>
    <x v="4"/>
    <x v="4"/>
    <x v="3"/>
    <s v="카탈로그"/>
    <n v="5583"/>
    <n v="62"/>
    <n v="71434"/>
    <n v="0"/>
    <n v="0"/>
    <m/>
  </r>
  <r>
    <s v="2026년"/>
    <s v="10월"/>
    <x v="1"/>
    <x v="7"/>
    <x v="0"/>
    <x v="4"/>
    <x v="1"/>
    <x v="4"/>
    <x v="4"/>
    <x v="3"/>
    <s v="카탈로그"/>
    <n v="4777"/>
    <n v="65"/>
    <n v="65300"/>
    <n v="0"/>
    <n v="0"/>
    <m/>
  </r>
  <r>
    <s v="2026년"/>
    <s v="10월"/>
    <x v="1"/>
    <x v="8"/>
    <x v="0"/>
    <x v="4"/>
    <x v="1"/>
    <x v="4"/>
    <x v="4"/>
    <x v="3"/>
    <s v="카탈로그"/>
    <n v="2769"/>
    <n v="47"/>
    <n v="55713"/>
    <n v="0"/>
    <n v="0"/>
    <m/>
  </r>
  <r>
    <s v="2026년"/>
    <s v="10월"/>
    <x v="1"/>
    <x v="3"/>
    <x v="0"/>
    <x v="3"/>
    <x v="1"/>
    <x v="3"/>
    <x v="3"/>
    <x v="3"/>
    <s v="카탈로그"/>
    <n v="10223"/>
    <n v="144"/>
    <n v="137117"/>
    <n v="0"/>
    <n v="0"/>
    <m/>
  </r>
  <r>
    <s v="2026년"/>
    <s v="10월"/>
    <x v="1"/>
    <x v="4"/>
    <x v="0"/>
    <x v="3"/>
    <x v="1"/>
    <x v="3"/>
    <x v="3"/>
    <x v="3"/>
    <s v="카탈로그"/>
    <n v="12960"/>
    <n v="133"/>
    <n v="130053"/>
    <n v="1"/>
    <n v="1658680"/>
    <m/>
  </r>
  <r>
    <s v="2026년"/>
    <s v="10월"/>
    <x v="1"/>
    <x v="5"/>
    <x v="0"/>
    <x v="3"/>
    <x v="1"/>
    <x v="3"/>
    <x v="3"/>
    <x v="3"/>
    <s v="카탈로그"/>
    <n v="10100"/>
    <n v="133"/>
    <n v="128921"/>
    <n v="0"/>
    <n v="0"/>
    <m/>
  </r>
  <r>
    <s v="2026년"/>
    <s v="10월"/>
    <x v="1"/>
    <x v="6"/>
    <x v="0"/>
    <x v="3"/>
    <x v="1"/>
    <x v="3"/>
    <x v="3"/>
    <x v="3"/>
    <s v="카탈로그"/>
    <n v="9777"/>
    <n v="109"/>
    <n v="111441"/>
    <n v="1"/>
    <n v="1668680"/>
    <m/>
  </r>
  <r>
    <s v="2026년"/>
    <s v="10월"/>
    <x v="1"/>
    <x v="7"/>
    <x v="0"/>
    <x v="3"/>
    <x v="1"/>
    <x v="3"/>
    <x v="3"/>
    <x v="3"/>
    <s v="카탈로그"/>
    <n v="9221"/>
    <n v="108"/>
    <n v="97581"/>
    <n v="0"/>
    <n v="0"/>
    <m/>
  </r>
  <r>
    <s v="2026년"/>
    <s v="10월"/>
    <x v="1"/>
    <x v="8"/>
    <x v="0"/>
    <x v="3"/>
    <x v="1"/>
    <x v="3"/>
    <x v="3"/>
    <x v="3"/>
    <s v="카탈로그"/>
    <n v="5870"/>
    <n v="51"/>
    <n v="58183"/>
    <n v="1"/>
    <n v="2835800"/>
    <m/>
  </r>
  <r>
    <s v="2026년"/>
    <s v="10월"/>
    <x v="1"/>
    <x v="9"/>
    <x v="0"/>
    <x v="3"/>
    <x v="1"/>
    <x v="3"/>
    <x v="3"/>
    <x v="3"/>
    <s v="카탈로그"/>
    <n v="8517"/>
    <n v="97"/>
    <n v="88919"/>
    <n v="2"/>
    <n v="2654100"/>
    <m/>
  </r>
  <r>
    <s v="2026년"/>
    <s v="10월"/>
    <x v="2"/>
    <x v="10"/>
    <x v="0"/>
    <x v="4"/>
    <x v="0"/>
    <x v="5"/>
    <x v="5"/>
    <x v="4"/>
    <s v="삼성전자 갤럭시북6 NT760VJT-A71A 16GB 512GB 울트라7 고성능AI 노트북"/>
    <n v="29061"/>
    <n v="34"/>
    <n v="29425"/>
    <n v="0"/>
    <n v="0"/>
    <m/>
  </r>
  <r>
    <s v="2026년"/>
    <s v="10월"/>
    <x v="2"/>
    <x v="11"/>
    <x v="0"/>
    <x v="4"/>
    <x v="0"/>
    <x v="5"/>
    <x v="5"/>
    <x v="4"/>
    <s v="삼성전자 갤럭시북6 NT760VJT-A71A 16GB 512GB 울트라7 고성능AI 노트북"/>
    <n v="32827"/>
    <n v="47"/>
    <n v="41921"/>
    <n v="0"/>
    <n v="0"/>
    <m/>
  </r>
  <r>
    <s v="2026년"/>
    <s v="10월"/>
    <x v="2"/>
    <x v="12"/>
    <x v="0"/>
    <x v="4"/>
    <x v="0"/>
    <x v="5"/>
    <x v="5"/>
    <x v="4"/>
    <s v="삼성전자 갤럭시북6 NT760VJT-A71A 16GB 512GB 울트라7 고성능AI 노트북"/>
    <n v="34850"/>
    <n v="67"/>
    <n v="78739"/>
    <n v="0"/>
    <n v="0"/>
    <m/>
  </r>
  <r>
    <s v="2026년"/>
    <s v="10월"/>
    <x v="2"/>
    <x v="10"/>
    <x v="0"/>
    <x v="0"/>
    <x v="0"/>
    <x v="0"/>
    <x v="0"/>
    <x v="0"/>
    <s v="[LIVE 327만+리뷰한컴+마우스] 삼성전자 갤럭시북6 프로 NT960XJG-K72A X7 32GB 노트북"/>
    <n v="27621"/>
    <n v="158"/>
    <n v="144359"/>
    <n v="0"/>
    <n v="0"/>
    <m/>
  </r>
  <r>
    <s v="2026년"/>
    <s v="10월"/>
    <x v="2"/>
    <x v="11"/>
    <x v="0"/>
    <x v="0"/>
    <x v="0"/>
    <x v="0"/>
    <x v="0"/>
    <x v="0"/>
    <s v="[LIVE 327만+리뷰한컴+마우스] 삼성전자 갤럭시북6 프로 NT960XJG-K72A X7 32GB 노트북"/>
    <n v="32460"/>
    <n v="193"/>
    <n v="143452"/>
    <n v="2"/>
    <n v="7557000"/>
    <m/>
  </r>
  <r>
    <s v="2026년"/>
    <s v="10월"/>
    <x v="2"/>
    <x v="12"/>
    <x v="0"/>
    <x v="0"/>
    <x v="0"/>
    <x v="0"/>
    <x v="0"/>
    <x v="0"/>
    <s v="[LIVE 327만+리뷰한컴+마우스] 삼성전자 갤럭시북6 프로 NT960XJG-K72A X7 32GB 노트북"/>
    <n v="38180"/>
    <n v="228"/>
    <n v="135214"/>
    <n v="1"/>
    <n v="3903000"/>
    <m/>
  </r>
  <r>
    <s v="2026년"/>
    <s v="10월"/>
    <x v="2"/>
    <x v="13"/>
    <x v="0"/>
    <x v="0"/>
    <x v="0"/>
    <x v="0"/>
    <x v="0"/>
    <x v="0"/>
    <s v="[LIVE 327만+리뷰한컴+마우스] 삼성전자 갤럭시북6 프로 NT960XJG-K72A X7 32GB 노트북"/>
    <n v="31954"/>
    <n v="180"/>
    <n v="146128"/>
    <n v="0"/>
    <n v="0"/>
    <m/>
  </r>
  <r>
    <s v="2026년"/>
    <s v="10월"/>
    <x v="2"/>
    <x v="14"/>
    <x v="0"/>
    <x v="0"/>
    <x v="0"/>
    <x v="0"/>
    <x v="0"/>
    <x v="0"/>
    <s v="[LIVE 327만+리뷰한컴+마우스] 삼성전자 갤럭시북6 프로 NT960XJG-K72A X7 32GB 노트북"/>
    <n v="47308"/>
    <n v="217"/>
    <n v="145389"/>
    <n v="1"/>
    <n v="3536900"/>
    <m/>
  </r>
  <r>
    <s v="2026년"/>
    <s v="10월"/>
    <x v="2"/>
    <x v="15"/>
    <x v="0"/>
    <x v="0"/>
    <x v="0"/>
    <x v="0"/>
    <x v="0"/>
    <x v="0"/>
    <s v="[LIVE 327만+리뷰한컴+마우스] 삼성전자 갤럭시북6 프로 NT960XJG-K72A X7 32GB 노트북"/>
    <n v="29387"/>
    <n v="221"/>
    <n v="148618"/>
    <n v="1"/>
    <n v="3785000"/>
    <m/>
  </r>
  <r>
    <s v="2026년"/>
    <s v="10월"/>
    <x v="2"/>
    <x v="16"/>
    <x v="0"/>
    <x v="0"/>
    <x v="0"/>
    <x v="0"/>
    <x v="0"/>
    <x v="0"/>
    <s v="[LIVE 327만+리뷰한컴+마우스] 삼성전자 갤럭시북6 프로 NT960XJG-K72A X7 32GB 노트북"/>
    <n v="36277"/>
    <n v="188"/>
    <n v="146380"/>
    <n v="0"/>
    <n v="0"/>
    <m/>
  </r>
  <r>
    <s v="2026년"/>
    <s v="10월"/>
    <x v="2"/>
    <x v="10"/>
    <x v="0"/>
    <x v="1"/>
    <x v="0"/>
    <x v="1"/>
    <x v="1"/>
    <x v="1"/>
    <s v="삼성전자 갤럭시북4 엣지 NT750XQB-KC01B 16GB 256GB Win11탑재"/>
    <n v="53393"/>
    <n v="165"/>
    <n v="140785"/>
    <n v="2"/>
    <n v="2577920"/>
    <m/>
  </r>
  <r>
    <s v="2026년"/>
    <s v="10월"/>
    <x v="2"/>
    <x v="11"/>
    <x v="0"/>
    <x v="1"/>
    <x v="0"/>
    <x v="1"/>
    <x v="1"/>
    <x v="1"/>
    <s v="삼성전자 갤럭시북4 엣지 NT750XQB-KC01B 16GB 256GB Win11탑재"/>
    <n v="40931"/>
    <n v="137"/>
    <n v="138859"/>
    <n v="0"/>
    <n v="0"/>
    <m/>
  </r>
  <r>
    <s v="2026년"/>
    <s v="10월"/>
    <x v="2"/>
    <x v="12"/>
    <x v="0"/>
    <x v="1"/>
    <x v="0"/>
    <x v="1"/>
    <x v="1"/>
    <x v="1"/>
    <s v="삼성전자 갤럭시북4 엣지 NT750XQB-KC01B 16GB 256GB Win11탑재"/>
    <n v="56312"/>
    <n v="143"/>
    <n v="142377"/>
    <n v="4"/>
    <n v="4976220"/>
    <m/>
  </r>
  <r>
    <s v="2026년"/>
    <s v="10월"/>
    <x v="2"/>
    <x v="13"/>
    <x v="0"/>
    <x v="1"/>
    <x v="0"/>
    <x v="1"/>
    <x v="1"/>
    <x v="1"/>
    <s v="삼성전자 갤럭시북4 엣지 NT750XQB-KC01B 16GB 256GB Win11탑재"/>
    <n v="65753"/>
    <n v="143"/>
    <n v="137023"/>
    <n v="2"/>
    <n v="2226960"/>
    <m/>
  </r>
  <r>
    <s v="2026년"/>
    <s v="10월"/>
    <x v="2"/>
    <x v="14"/>
    <x v="0"/>
    <x v="1"/>
    <x v="0"/>
    <x v="1"/>
    <x v="1"/>
    <x v="1"/>
    <s v="삼성전자 갤럭시북4 엣지 NT750XQB-KC01B 16GB 256GB Win11탑재"/>
    <n v="72808"/>
    <n v="177"/>
    <n v="137524"/>
    <n v="1"/>
    <n v="1427000"/>
    <m/>
  </r>
  <r>
    <s v="2026년"/>
    <s v="10월"/>
    <x v="2"/>
    <x v="15"/>
    <x v="0"/>
    <x v="1"/>
    <x v="0"/>
    <x v="1"/>
    <x v="1"/>
    <x v="1"/>
    <s v="삼성전자 갤럭시북4 엣지 NT750XQB-KC01B 16GB 256GB Win11탑재"/>
    <n v="51005"/>
    <n v="148"/>
    <n v="138928"/>
    <n v="5"/>
    <n v="6154340"/>
    <m/>
  </r>
  <r>
    <s v="2026년"/>
    <s v="10월"/>
    <x v="2"/>
    <x v="16"/>
    <x v="0"/>
    <x v="1"/>
    <x v="0"/>
    <x v="1"/>
    <x v="1"/>
    <x v="1"/>
    <s v="삼성전자 갤럭시북4 엣지 NT750XQB-KC01B 16GB 256GB Win11탑재"/>
    <n v="56540"/>
    <n v="191"/>
    <n v="137052"/>
    <n v="3"/>
    <n v="3570280"/>
    <m/>
  </r>
  <r>
    <s v="2026년"/>
    <s v="10월"/>
    <x v="2"/>
    <x v="10"/>
    <x v="0"/>
    <x v="4"/>
    <x v="0"/>
    <x v="5"/>
    <x v="6"/>
    <x v="5"/>
    <s v="삼성전자 갤럭시북5 NT750XHW-A71A 16GB 256GB 사무용 AI 노트북"/>
    <n v="8885"/>
    <n v="16"/>
    <n v="10539"/>
    <n v="0"/>
    <n v="0"/>
    <m/>
  </r>
  <r>
    <s v="2026년"/>
    <s v="10월"/>
    <x v="2"/>
    <x v="11"/>
    <x v="0"/>
    <x v="4"/>
    <x v="0"/>
    <x v="5"/>
    <x v="6"/>
    <x v="5"/>
    <s v="삼성전자 갤럭시북5 NT750XHW-A71A 16GB 256GB 사무용 AI 노트북"/>
    <n v="5513"/>
    <n v="24"/>
    <n v="20641"/>
    <n v="0"/>
    <n v="0"/>
    <m/>
  </r>
  <r>
    <s v="2026년"/>
    <s v="10월"/>
    <x v="2"/>
    <x v="12"/>
    <x v="0"/>
    <x v="4"/>
    <x v="0"/>
    <x v="5"/>
    <x v="6"/>
    <x v="5"/>
    <s v="삼성전자 갤럭시북5 NT750XHW-A71A 16GB 256GB 사무용 AI 노트북"/>
    <n v="3463"/>
    <n v="19"/>
    <n v="37805"/>
    <n v="0"/>
    <n v="0"/>
    <m/>
  </r>
  <r>
    <s v="2026년"/>
    <s v="10월"/>
    <x v="2"/>
    <x v="10"/>
    <x v="0"/>
    <x v="4"/>
    <x v="0"/>
    <x v="5"/>
    <x v="7"/>
    <x v="6"/>
    <s v="삼성전자 갤럭시북5 프로 NT940XHA-K71AR 울트라7 32GB 윈도우 터치 노트북"/>
    <n v="11871"/>
    <n v="27"/>
    <n v="39012"/>
    <n v="0"/>
    <n v="0"/>
    <m/>
  </r>
  <r>
    <s v="2026년"/>
    <s v="10월"/>
    <x v="2"/>
    <x v="11"/>
    <x v="0"/>
    <x v="4"/>
    <x v="0"/>
    <x v="5"/>
    <x v="7"/>
    <x v="6"/>
    <s v="삼성전자 갤럭시북5 프로 NT940XHA-K71AR 울트라7 32GB 윈도우 터치 노트북"/>
    <n v="6554"/>
    <n v="35"/>
    <n v="52190"/>
    <n v="0"/>
    <n v="0"/>
    <m/>
  </r>
  <r>
    <s v="2026년"/>
    <s v="10월"/>
    <x v="2"/>
    <x v="12"/>
    <x v="0"/>
    <x v="4"/>
    <x v="0"/>
    <x v="5"/>
    <x v="7"/>
    <x v="6"/>
    <s v="삼성전자 갤럭시북5 프로 NT940XHA-K71AR 울트라7 32GB 윈도우 터치 노트북"/>
    <n v="1967"/>
    <n v="0"/>
    <n v="0"/>
    <n v="0"/>
    <n v="0"/>
    <m/>
  </r>
  <r>
    <s v="2026년"/>
    <s v="10월"/>
    <x v="2"/>
    <x v="10"/>
    <x v="0"/>
    <x v="2"/>
    <x v="0"/>
    <x v="2"/>
    <x v="2"/>
    <x v="2"/>
    <s v="삼성 갤럭시북5 프로360 NT960QHA-K71AR 그레이 32GB SSD1TB 노트북"/>
    <n v="15785"/>
    <n v="80"/>
    <n v="129490"/>
    <n v="1"/>
    <n v="3689000"/>
    <m/>
  </r>
  <r>
    <s v="2026년"/>
    <s v="10월"/>
    <x v="2"/>
    <x v="11"/>
    <x v="0"/>
    <x v="2"/>
    <x v="0"/>
    <x v="2"/>
    <x v="2"/>
    <x v="2"/>
    <s v="삼성 갤럭시북5 프로360 NT960QHA-K71AR 그레이 32GB SSD1TB 노트북"/>
    <n v="18043"/>
    <n v="87"/>
    <n v="136798"/>
    <n v="0"/>
    <n v="0"/>
    <m/>
  </r>
  <r>
    <s v="2026년"/>
    <s v="10월"/>
    <x v="2"/>
    <x v="12"/>
    <x v="0"/>
    <x v="2"/>
    <x v="0"/>
    <x v="2"/>
    <x v="2"/>
    <x v="2"/>
    <s v="삼성 갤럭시북5 프로360 NT960QHA-K71AR 그레이 32GB SSD1TB 노트북"/>
    <n v="28380"/>
    <n v="96"/>
    <n v="138378"/>
    <n v="0"/>
    <n v="0"/>
    <m/>
  </r>
  <r>
    <s v="2026년"/>
    <s v="10월"/>
    <x v="2"/>
    <x v="13"/>
    <x v="0"/>
    <x v="2"/>
    <x v="0"/>
    <x v="2"/>
    <x v="2"/>
    <x v="2"/>
    <s v="삼성 갤럭시북5 프로360 NT960QHA-K71AR 그레이 32GB SSD1TB 노트북"/>
    <n v="16060"/>
    <n v="79"/>
    <n v="135493"/>
    <n v="0"/>
    <n v="0"/>
    <m/>
  </r>
  <r>
    <s v="2026년"/>
    <s v="10월"/>
    <x v="2"/>
    <x v="14"/>
    <x v="0"/>
    <x v="2"/>
    <x v="0"/>
    <x v="2"/>
    <x v="2"/>
    <x v="2"/>
    <s v="삼성 갤럭시북5 프로360 NT960QHA-K71AR 그레이 32GB SSD1TB 노트북"/>
    <n v="21071"/>
    <n v="85"/>
    <n v="140942"/>
    <n v="1"/>
    <n v="3548900"/>
    <m/>
  </r>
  <r>
    <s v="2026년"/>
    <s v="10월"/>
    <x v="2"/>
    <x v="15"/>
    <x v="0"/>
    <x v="2"/>
    <x v="0"/>
    <x v="2"/>
    <x v="2"/>
    <x v="2"/>
    <s v="삼성 갤럭시북5 프로360 NT960QHA-K71AR 그레이 32GB SSD1TB 노트북"/>
    <n v="24583"/>
    <n v="83"/>
    <n v="135681"/>
    <n v="0"/>
    <n v="0"/>
    <m/>
  </r>
  <r>
    <s v="2026년"/>
    <s v="10월"/>
    <x v="2"/>
    <x v="16"/>
    <x v="0"/>
    <x v="2"/>
    <x v="0"/>
    <x v="2"/>
    <x v="2"/>
    <x v="2"/>
    <s v="삼성 갤럭시북5 프로360 NT960QHA-K71AR 그레이 32GB SSD1TB 노트북"/>
    <n v="26023"/>
    <n v="97"/>
    <n v="139172"/>
    <n v="2"/>
    <n v="7987000"/>
    <m/>
  </r>
  <r>
    <s v="2026년"/>
    <s v="10월"/>
    <x v="2"/>
    <x v="10"/>
    <x v="0"/>
    <x v="4"/>
    <x v="0"/>
    <x v="5"/>
    <x v="8"/>
    <x v="7"/>
    <s v="삼성전자 갤럭시북4 NT750XGR-A71A i7 16GB 512GB 사무용 노트북"/>
    <n v="70136"/>
    <n v="130"/>
    <n v="103577"/>
    <n v="3"/>
    <n v="4906000"/>
    <m/>
  </r>
  <r>
    <s v="2026년"/>
    <s v="10월"/>
    <x v="2"/>
    <x v="11"/>
    <x v="0"/>
    <x v="4"/>
    <x v="0"/>
    <x v="5"/>
    <x v="8"/>
    <x v="7"/>
    <s v="삼성전자 갤럭시북4 NT750XGR-A71A i7 16GB 512GB 사무용 노트북"/>
    <n v="33978"/>
    <n v="79"/>
    <n v="74601"/>
    <n v="1"/>
    <n v="1328160"/>
    <m/>
  </r>
  <r>
    <s v="2026년"/>
    <s v="10월"/>
    <x v="2"/>
    <x v="12"/>
    <x v="0"/>
    <x v="4"/>
    <x v="0"/>
    <x v="5"/>
    <x v="8"/>
    <x v="7"/>
    <s v="삼성전자 갤럭시북4 NT750XGR-A71A i7 16GB 512GB 사무용 노트북"/>
    <n v="25032"/>
    <n v="51"/>
    <n v="76942"/>
    <n v="2"/>
    <n v="3842000"/>
    <m/>
  </r>
  <r>
    <s v="2026년"/>
    <s v="10월"/>
    <x v="2"/>
    <x v="10"/>
    <x v="0"/>
    <x v="5"/>
    <x v="1"/>
    <x v="6"/>
    <x v="9"/>
    <x v="3"/>
    <s v="카탈로그"/>
    <n v="12389"/>
    <n v="112"/>
    <n v="114635"/>
    <n v="0"/>
    <n v="0"/>
    <m/>
  </r>
  <r>
    <s v="2026년"/>
    <s v="10월"/>
    <x v="2"/>
    <x v="11"/>
    <x v="0"/>
    <x v="5"/>
    <x v="1"/>
    <x v="6"/>
    <x v="9"/>
    <x v="3"/>
    <s v="카탈로그"/>
    <n v="11928"/>
    <n v="107"/>
    <n v="136053"/>
    <n v="1"/>
    <n v="1403600"/>
    <m/>
  </r>
  <r>
    <s v="2026년"/>
    <s v="10월"/>
    <x v="2"/>
    <x v="12"/>
    <x v="0"/>
    <x v="5"/>
    <x v="1"/>
    <x v="6"/>
    <x v="9"/>
    <x v="3"/>
    <s v="카탈로그"/>
    <n v="9906"/>
    <n v="89"/>
    <n v="106896"/>
    <n v="0"/>
    <n v="0"/>
    <m/>
  </r>
  <r>
    <s v="2026년"/>
    <s v="10월"/>
    <x v="2"/>
    <x v="13"/>
    <x v="0"/>
    <x v="5"/>
    <x v="1"/>
    <x v="6"/>
    <x v="9"/>
    <x v="3"/>
    <s v="카탈로그"/>
    <n v="9343"/>
    <n v="86"/>
    <n v="103424"/>
    <n v="0"/>
    <n v="0"/>
    <m/>
  </r>
  <r>
    <s v="2026년"/>
    <s v="10월"/>
    <x v="2"/>
    <x v="14"/>
    <x v="0"/>
    <x v="5"/>
    <x v="1"/>
    <x v="6"/>
    <x v="9"/>
    <x v="3"/>
    <s v="카탈로그"/>
    <n v="6496"/>
    <n v="80"/>
    <n v="94368"/>
    <n v="2"/>
    <n v="1898000"/>
    <m/>
  </r>
  <r>
    <s v="2026년"/>
    <s v="10월"/>
    <x v="2"/>
    <x v="15"/>
    <x v="0"/>
    <x v="5"/>
    <x v="1"/>
    <x v="6"/>
    <x v="9"/>
    <x v="3"/>
    <s v="카탈로그"/>
    <n v="6193"/>
    <n v="86"/>
    <n v="98593"/>
    <n v="1"/>
    <n v="949000"/>
    <m/>
  </r>
  <r>
    <s v="2026년"/>
    <s v="10월"/>
    <x v="2"/>
    <x v="16"/>
    <x v="0"/>
    <x v="5"/>
    <x v="1"/>
    <x v="6"/>
    <x v="9"/>
    <x v="3"/>
    <s v="카탈로그"/>
    <n v="2048"/>
    <n v="31"/>
    <n v="32271"/>
    <n v="0"/>
    <n v="0"/>
    <m/>
  </r>
  <r>
    <s v="2026년"/>
    <s v="10월"/>
    <x v="2"/>
    <x v="13"/>
    <x v="0"/>
    <x v="4"/>
    <x v="1"/>
    <x v="4"/>
    <x v="4"/>
    <x v="3"/>
    <s v="카탈로그"/>
    <n v="3832"/>
    <n v="49"/>
    <n v="55070"/>
    <n v="0"/>
    <n v="0"/>
    <m/>
  </r>
  <r>
    <s v="2026년"/>
    <s v="10월"/>
    <x v="2"/>
    <x v="14"/>
    <x v="0"/>
    <x v="4"/>
    <x v="1"/>
    <x v="4"/>
    <x v="4"/>
    <x v="3"/>
    <s v="카탈로그"/>
    <n v="9718"/>
    <n v="110"/>
    <n v="132516"/>
    <n v="0"/>
    <n v="0"/>
    <m/>
  </r>
  <r>
    <s v="2026년"/>
    <s v="10월"/>
    <x v="2"/>
    <x v="15"/>
    <x v="0"/>
    <x v="4"/>
    <x v="1"/>
    <x v="4"/>
    <x v="4"/>
    <x v="3"/>
    <s v="카탈로그"/>
    <n v="8998"/>
    <n v="94"/>
    <n v="116706"/>
    <n v="0"/>
    <n v="0"/>
    <m/>
  </r>
  <r>
    <s v="2026년"/>
    <s v="10월"/>
    <x v="2"/>
    <x v="16"/>
    <x v="0"/>
    <x v="4"/>
    <x v="1"/>
    <x v="4"/>
    <x v="4"/>
    <x v="3"/>
    <s v="카탈로그"/>
    <n v="9318"/>
    <n v="90"/>
    <n v="99296"/>
    <n v="2"/>
    <n v="3152320"/>
    <m/>
  </r>
  <r>
    <s v="2026년"/>
    <s v="10월"/>
    <x v="2"/>
    <x v="10"/>
    <x v="0"/>
    <x v="3"/>
    <x v="1"/>
    <x v="3"/>
    <x v="3"/>
    <x v="3"/>
    <s v="카탈로그"/>
    <n v="15705"/>
    <n v="185"/>
    <n v="128167"/>
    <n v="0"/>
    <n v="0"/>
    <m/>
  </r>
  <r>
    <s v="2026년"/>
    <s v="10월"/>
    <x v="2"/>
    <x v="11"/>
    <x v="0"/>
    <x v="3"/>
    <x v="1"/>
    <x v="3"/>
    <x v="3"/>
    <x v="3"/>
    <s v="카탈로그"/>
    <n v="13117"/>
    <n v="209"/>
    <n v="136516"/>
    <n v="0"/>
    <n v="0"/>
    <m/>
  </r>
  <r>
    <s v="2026년"/>
    <s v="10월"/>
    <x v="2"/>
    <x v="12"/>
    <x v="0"/>
    <x v="3"/>
    <x v="1"/>
    <x v="3"/>
    <x v="3"/>
    <x v="3"/>
    <s v="카탈로그"/>
    <n v="13412"/>
    <n v="188"/>
    <n v="143409"/>
    <n v="0"/>
    <n v="0"/>
    <m/>
  </r>
  <r>
    <s v="2026년"/>
    <s v="10월"/>
    <x v="2"/>
    <x v="13"/>
    <x v="0"/>
    <x v="3"/>
    <x v="1"/>
    <x v="3"/>
    <x v="3"/>
    <x v="3"/>
    <s v="카탈로그"/>
    <n v="14582"/>
    <n v="178"/>
    <n v="135043"/>
    <n v="0"/>
    <n v="0"/>
    <m/>
  </r>
  <r>
    <s v="2026년"/>
    <s v="10월"/>
    <x v="2"/>
    <x v="14"/>
    <x v="0"/>
    <x v="3"/>
    <x v="1"/>
    <x v="3"/>
    <x v="3"/>
    <x v="3"/>
    <s v="카탈로그"/>
    <n v="14539"/>
    <n v="195"/>
    <n v="136637"/>
    <n v="1"/>
    <n v="1663680"/>
    <m/>
  </r>
  <r>
    <s v="2026년"/>
    <s v="10월"/>
    <x v="2"/>
    <x v="15"/>
    <x v="0"/>
    <x v="3"/>
    <x v="1"/>
    <x v="3"/>
    <x v="3"/>
    <x v="3"/>
    <s v="카탈로그"/>
    <n v="12850"/>
    <n v="199"/>
    <n v="135236"/>
    <n v="0"/>
    <n v="0"/>
    <m/>
  </r>
  <r>
    <s v="2026년"/>
    <s v="10월"/>
    <x v="2"/>
    <x v="16"/>
    <x v="0"/>
    <x v="3"/>
    <x v="1"/>
    <x v="3"/>
    <x v="3"/>
    <x v="3"/>
    <s v="카탈로그"/>
    <n v="14284"/>
    <n v="186"/>
    <n v="135321"/>
    <n v="0"/>
    <n v="0"/>
    <m/>
  </r>
  <r>
    <s v="2026년"/>
    <s v="10월"/>
    <x v="3"/>
    <x v="17"/>
    <x v="0"/>
    <x v="5"/>
    <x v="1"/>
    <x v="6"/>
    <x v="9"/>
    <x v="3"/>
    <s v="카탈로그"/>
    <n v="15980"/>
    <n v="130"/>
    <n v="163296"/>
    <n v="0"/>
    <n v="0"/>
    <m/>
  </r>
  <r>
    <s v="2026년"/>
    <s v="10월"/>
    <x v="3"/>
    <x v="18"/>
    <x v="0"/>
    <x v="5"/>
    <x v="1"/>
    <x v="6"/>
    <x v="9"/>
    <x v="3"/>
    <s v="카탈로그"/>
    <n v="14266"/>
    <n v="159"/>
    <n v="214214"/>
    <n v="0"/>
    <n v="0"/>
    <m/>
  </r>
  <r>
    <s v="2026년"/>
    <s v="10월"/>
    <x v="3"/>
    <x v="19"/>
    <x v="0"/>
    <x v="5"/>
    <x v="1"/>
    <x v="6"/>
    <x v="9"/>
    <x v="3"/>
    <s v="카탈로그"/>
    <n v="14542"/>
    <n v="118"/>
    <n v="172957"/>
    <n v="0"/>
    <n v="0"/>
    <m/>
  </r>
  <r>
    <s v="2026년"/>
    <s v="10월"/>
    <x v="3"/>
    <x v="20"/>
    <x v="0"/>
    <x v="5"/>
    <x v="1"/>
    <x v="6"/>
    <x v="9"/>
    <x v="3"/>
    <s v="카탈로그"/>
    <n v="20657"/>
    <n v="127"/>
    <n v="172239"/>
    <n v="0"/>
    <n v="0"/>
    <m/>
  </r>
  <r>
    <s v="2026년"/>
    <s v="10월"/>
    <x v="3"/>
    <x v="21"/>
    <x v="0"/>
    <x v="5"/>
    <x v="1"/>
    <x v="6"/>
    <x v="9"/>
    <x v="3"/>
    <s v="카탈로그"/>
    <n v="17307"/>
    <n v="124"/>
    <n v="156408"/>
    <n v="2"/>
    <n v="3176080"/>
    <m/>
  </r>
  <r>
    <s v="2026년"/>
    <s v="10월"/>
    <x v="3"/>
    <x v="22"/>
    <x v="0"/>
    <x v="5"/>
    <x v="1"/>
    <x v="6"/>
    <x v="9"/>
    <x v="3"/>
    <s v="카탈로그"/>
    <n v="18155"/>
    <n v="127"/>
    <n v="157522"/>
    <n v="2"/>
    <n v="2866160"/>
    <m/>
  </r>
  <r>
    <s v="2026년"/>
    <s v="10월"/>
    <x v="3"/>
    <x v="23"/>
    <x v="0"/>
    <x v="5"/>
    <x v="1"/>
    <x v="6"/>
    <x v="9"/>
    <x v="3"/>
    <s v="카탈로그"/>
    <n v="16400"/>
    <n v="122"/>
    <n v="146874"/>
    <n v="0"/>
    <n v="0"/>
    <m/>
  </r>
  <r>
    <s v="2026년"/>
    <s v="10월"/>
    <x v="3"/>
    <x v="17"/>
    <x v="0"/>
    <x v="3"/>
    <x v="1"/>
    <x v="3"/>
    <x v="3"/>
    <x v="3"/>
    <s v="카탈로그"/>
    <n v="14708"/>
    <n v="190"/>
    <n v="156817"/>
    <n v="1"/>
    <n v="2889000"/>
    <m/>
  </r>
  <r>
    <s v="2026년"/>
    <s v="10월"/>
    <x v="3"/>
    <x v="18"/>
    <x v="0"/>
    <x v="3"/>
    <x v="1"/>
    <x v="3"/>
    <x v="3"/>
    <x v="3"/>
    <s v="카탈로그"/>
    <n v="12874"/>
    <n v="187"/>
    <n v="159016"/>
    <n v="0"/>
    <n v="0"/>
    <m/>
  </r>
  <r>
    <s v="2026년"/>
    <s v="10월"/>
    <x v="3"/>
    <x v="19"/>
    <x v="0"/>
    <x v="3"/>
    <x v="1"/>
    <x v="3"/>
    <x v="3"/>
    <x v="3"/>
    <s v="카탈로그"/>
    <n v="15095"/>
    <n v="150"/>
    <n v="158070"/>
    <n v="0"/>
    <n v="0"/>
    <m/>
  </r>
  <r>
    <s v="2026년"/>
    <s v="10월"/>
    <x v="3"/>
    <x v="20"/>
    <x v="0"/>
    <x v="3"/>
    <x v="1"/>
    <x v="3"/>
    <x v="3"/>
    <x v="3"/>
    <s v="카탈로그"/>
    <n v="22500"/>
    <n v="222"/>
    <n v="173058"/>
    <n v="1"/>
    <n v="1552800"/>
    <m/>
  </r>
  <r>
    <s v="2026년"/>
    <s v="10월"/>
    <x v="3"/>
    <x v="21"/>
    <x v="0"/>
    <x v="3"/>
    <x v="1"/>
    <x v="3"/>
    <x v="3"/>
    <x v="3"/>
    <s v="카탈로그"/>
    <n v="18514"/>
    <n v="234"/>
    <n v="174563"/>
    <n v="1"/>
    <n v="1398600"/>
    <m/>
  </r>
  <r>
    <s v="2026년"/>
    <s v="10월"/>
    <x v="3"/>
    <x v="22"/>
    <x v="0"/>
    <x v="3"/>
    <x v="1"/>
    <x v="3"/>
    <x v="3"/>
    <x v="3"/>
    <s v="카탈로그"/>
    <n v="24751"/>
    <n v="261"/>
    <n v="156861"/>
    <n v="0"/>
    <n v="0"/>
    <m/>
  </r>
  <r>
    <s v="2026년"/>
    <s v="10월"/>
    <x v="3"/>
    <x v="23"/>
    <x v="0"/>
    <x v="3"/>
    <x v="1"/>
    <x v="3"/>
    <x v="3"/>
    <x v="3"/>
    <s v="카탈로그"/>
    <n v="16451"/>
    <n v="197"/>
    <n v="143456"/>
    <n v="0"/>
    <n v="0"/>
    <m/>
  </r>
  <r>
    <s v="2026년"/>
    <s v="10월"/>
    <x v="3"/>
    <x v="17"/>
    <x v="0"/>
    <x v="4"/>
    <x v="0"/>
    <x v="5"/>
    <x v="5"/>
    <x v="4"/>
    <s v="삼성전자 갤럭시북6 NT760VJT-A71A 16GB 512GB 울트라7 고성능AI 노트북"/>
    <n v="11427"/>
    <n v="20"/>
    <n v="19852"/>
    <n v="0"/>
    <n v="0"/>
    <m/>
  </r>
  <r>
    <s v="2026년"/>
    <s v="10월"/>
    <x v="3"/>
    <x v="18"/>
    <x v="0"/>
    <x v="4"/>
    <x v="0"/>
    <x v="5"/>
    <x v="5"/>
    <x v="4"/>
    <s v="삼성전자 갤럭시북6 NT760VJT-A71A 16GB 512GB 울트라7 고성능AI 노트북"/>
    <n v="11949"/>
    <n v="29"/>
    <n v="35592"/>
    <n v="0"/>
    <n v="0"/>
    <m/>
  </r>
  <r>
    <s v="2026년"/>
    <s v="10월"/>
    <x v="3"/>
    <x v="19"/>
    <x v="0"/>
    <x v="4"/>
    <x v="0"/>
    <x v="5"/>
    <x v="5"/>
    <x v="4"/>
    <s v="삼성전자 갤럭시북6 NT760VJT-A71A 16GB 512GB 울트라7 고성능AI 노트북"/>
    <n v="10565"/>
    <n v="47"/>
    <n v="46643"/>
    <n v="1"/>
    <n v="2298000"/>
    <m/>
  </r>
  <r>
    <s v="2026년"/>
    <s v="10월"/>
    <x v="3"/>
    <x v="20"/>
    <x v="0"/>
    <x v="4"/>
    <x v="0"/>
    <x v="5"/>
    <x v="5"/>
    <x v="4"/>
    <s v="삼성전자 갤럭시북6 NT760VJT-A71A 16GB 512GB 울트라7 고성능AI 노트북"/>
    <n v="9503"/>
    <n v="37"/>
    <n v="33840"/>
    <n v="1"/>
    <n v="1295160"/>
    <m/>
  </r>
  <r>
    <s v="2026년"/>
    <s v="10월"/>
    <x v="3"/>
    <x v="21"/>
    <x v="0"/>
    <x v="4"/>
    <x v="0"/>
    <x v="5"/>
    <x v="5"/>
    <x v="4"/>
    <s v="삼성전자 갤럭시북6 NT760VJT-A71A 16GB 512GB 울트라7 고성능AI 노트북"/>
    <n v="13404"/>
    <n v="29"/>
    <n v="23568"/>
    <n v="0"/>
    <n v="0"/>
    <m/>
  </r>
  <r>
    <s v="2026년"/>
    <s v="10월"/>
    <x v="3"/>
    <x v="22"/>
    <x v="0"/>
    <x v="4"/>
    <x v="0"/>
    <x v="5"/>
    <x v="5"/>
    <x v="4"/>
    <s v="삼성전자 갤럭시북6 NT760VJT-A71A 16GB 512GB 울트라7 고성능AI 노트북"/>
    <n v="13658"/>
    <n v="36"/>
    <n v="29042"/>
    <n v="3"/>
    <n v="4903320"/>
    <m/>
  </r>
  <r>
    <s v="2026년"/>
    <s v="10월"/>
    <x v="3"/>
    <x v="23"/>
    <x v="0"/>
    <x v="4"/>
    <x v="0"/>
    <x v="5"/>
    <x v="5"/>
    <x v="4"/>
    <s v="삼성전자 갤럭시북6 NT760VJT-A71A 16GB 512GB 울트라7 고성능AI 노트북"/>
    <n v="29997"/>
    <n v="42"/>
    <n v="36404"/>
    <n v="0"/>
    <n v="0"/>
    <m/>
  </r>
  <r>
    <s v="2026년"/>
    <s v="10월"/>
    <x v="3"/>
    <x v="17"/>
    <x v="0"/>
    <x v="0"/>
    <x v="0"/>
    <x v="0"/>
    <x v="0"/>
    <x v="0"/>
    <s v="[혜택가 318만+리뷰한컴] 삼성전자 갤럭시북6 프로 NT960XJG-K72A X7 32GB 노트북"/>
    <n v="32032"/>
    <n v="191"/>
    <n v="166409"/>
    <n v="1"/>
    <n v="3651000"/>
    <m/>
  </r>
  <r>
    <s v="2026년"/>
    <s v="10월"/>
    <x v="3"/>
    <x v="18"/>
    <x v="0"/>
    <x v="0"/>
    <x v="0"/>
    <x v="0"/>
    <x v="0"/>
    <x v="0"/>
    <s v="[혜택가 318만+리뷰한컴] 삼성전자 갤럭시북6 프로 NT960XJG-K72A X7 32GB 노트북"/>
    <n v="30371"/>
    <n v="176"/>
    <n v="163468"/>
    <n v="1"/>
    <n v="3900000"/>
    <m/>
  </r>
  <r>
    <s v="2026년"/>
    <s v="10월"/>
    <x v="3"/>
    <x v="19"/>
    <x v="0"/>
    <x v="0"/>
    <x v="0"/>
    <x v="0"/>
    <x v="0"/>
    <x v="0"/>
    <s v="[혜택가 318만+리뷰한컴] 삼성전자 갤럭시북6 프로 NT960XJG-K72A X7 32GB 노트북"/>
    <n v="27936"/>
    <n v="167"/>
    <n v="168381"/>
    <n v="1"/>
    <n v="3903000"/>
    <m/>
  </r>
  <r>
    <s v="2026년"/>
    <s v="10월"/>
    <x v="3"/>
    <x v="20"/>
    <x v="0"/>
    <x v="0"/>
    <x v="0"/>
    <x v="0"/>
    <x v="0"/>
    <x v="0"/>
    <s v="[혜택가 318만+리뷰한컴] 삼성전자 갤럭시북6 프로 NT960XJG-K72A X7 32GB 노트북"/>
    <n v="37489"/>
    <n v="198"/>
    <n v="164921"/>
    <n v="0"/>
    <n v="0"/>
    <m/>
  </r>
  <r>
    <s v="2026년"/>
    <s v="10월"/>
    <x v="3"/>
    <x v="21"/>
    <x v="0"/>
    <x v="0"/>
    <x v="0"/>
    <x v="0"/>
    <x v="0"/>
    <x v="0"/>
    <s v="[혜택가 318만+리뷰한컴] 삼성전자 갤럭시북6 프로 NT960XJG-K72A X7 32GB 노트북"/>
    <n v="32019"/>
    <n v="178"/>
    <n v="159848"/>
    <n v="3"/>
    <n v="10962000"/>
    <m/>
  </r>
  <r>
    <s v="2026년"/>
    <s v="10월"/>
    <x v="3"/>
    <x v="22"/>
    <x v="0"/>
    <x v="0"/>
    <x v="0"/>
    <x v="0"/>
    <x v="0"/>
    <x v="0"/>
    <s v="[혜택가 318만+리뷰한컴] 삼성전자 갤럭시북6 프로 NT960XJG-K72A X7 32GB 노트북"/>
    <n v="39132"/>
    <n v="184"/>
    <n v="147110"/>
    <n v="0"/>
    <n v="0"/>
    <m/>
  </r>
  <r>
    <s v="2026년"/>
    <s v="10월"/>
    <x v="3"/>
    <x v="23"/>
    <x v="0"/>
    <x v="0"/>
    <x v="0"/>
    <x v="0"/>
    <x v="0"/>
    <x v="0"/>
    <s v="[혜택가 318만+리뷰한컴] 삼성전자 갤럭시북6 프로 NT960XJG-K72A X7 32GB 노트북"/>
    <n v="33368"/>
    <n v="175"/>
    <n v="144054"/>
    <n v="0"/>
    <n v="0"/>
    <m/>
  </r>
  <r>
    <s v="2026년"/>
    <s v="10월"/>
    <x v="3"/>
    <x v="17"/>
    <x v="0"/>
    <x v="1"/>
    <x v="0"/>
    <x v="1"/>
    <x v="1"/>
    <x v="1"/>
    <s v="삼성전자 갤럭시북4 엣지 NT750XQB-KC01B 16GB 256GB Win11탑재"/>
    <n v="36599"/>
    <n v="142"/>
    <n v="154837"/>
    <n v="2"/>
    <n v="2645900"/>
    <m/>
  </r>
  <r>
    <s v="2026년"/>
    <s v="10월"/>
    <x v="3"/>
    <x v="18"/>
    <x v="0"/>
    <x v="1"/>
    <x v="0"/>
    <x v="1"/>
    <x v="1"/>
    <x v="1"/>
    <s v="삼성전자 갤럭시북4 엣지 NT750XQB-KC01B 16GB 256GB Win11탑재"/>
    <n v="77968"/>
    <n v="147"/>
    <n v="155431"/>
    <n v="1"/>
    <n v="1298000"/>
    <m/>
  </r>
  <r>
    <s v="2026년"/>
    <s v="10월"/>
    <x v="3"/>
    <x v="19"/>
    <x v="0"/>
    <x v="1"/>
    <x v="0"/>
    <x v="1"/>
    <x v="1"/>
    <x v="1"/>
    <s v="삼성전자 갤럭시북4 엣지 NT750XQB-KC01B 16GB 256GB Win11탑재"/>
    <n v="43602"/>
    <n v="141"/>
    <n v="157898"/>
    <n v="4"/>
    <n v="4913000"/>
    <m/>
  </r>
  <r>
    <s v="2026년"/>
    <s v="10월"/>
    <x v="3"/>
    <x v="20"/>
    <x v="0"/>
    <x v="1"/>
    <x v="0"/>
    <x v="1"/>
    <x v="1"/>
    <x v="1"/>
    <s v="삼성전자 갤럭시북4 엣지 NT750XQB-KC01B 16GB 256GB Win11탑재"/>
    <n v="50966"/>
    <n v="172"/>
    <n v="157982"/>
    <n v="0"/>
    <n v="0"/>
    <m/>
  </r>
  <r>
    <s v="2026년"/>
    <s v="10월"/>
    <x v="3"/>
    <x v="21"/>
    <x v="0"/>
    <x v="1"/>
    <x v="0"/>
    <x v="1"/>
    <x v="1"/>
    <x v="1"/>
    <s v="삼성전자 갤럭시북4 엣지 NT750XQB-KC01B 16GB 256GB Win11탑재"/>
    <n v="25573"/>
    <n v="112"/>
    <n v="141978"/>
    <n v="1"/>
    <n v="1194060"/>
    <m/>
  </r>
  <r>
    <s v="2026년"/>
    <s v="10월"/>
    <x v="3"/>
    <x v="22"/>
    <x v="0"/>
    <x v="1"/>
    <x v="0"/>
    <x v="1"/>
    <x v="1"/>
    <x v="1"/>
    <s v="삼성전자 갤럭시북4 엣지 NT750XQB-KC01B 16GB 256GB Win11탑재"/>
    <n v="53362"/>
    <n v="146"/>
    <n v="129371"/>
    <n v="4"/>
    <n v="4522320"/>
    <m/>
  </r>
  <r>
    <s v="2026년"/>
    <s v="10월"/>
    <x v="3"/>
    <x v="23"/>
    <x v="0"/>
    <x v="1"/>
    <x v="0"/>
    <x v="1"/>
    <x v="1"/>
    <x v="1"/>
    <s v="삼성전자 갤럭시북4 엣지 NT750XQB-KC01B 16GB 256GB Win11탑재"/>
    <n v="58184"/>
    <n v="140"/>
    <n v="141661"/>
    <n v="5"/>
    <n v="5650380"/>
    <m/>
  </r>
  <r>
    <s v="2026년"/>
    <s v="10월"/>
    <x v="3"/>
    <x v="17"/>
    <x v="0"/>
    <x v="4"/>
    <x v="0"/>
    <x v="5"/>
    <x v="6"/>
    <x v="5"/>
    <s v="삼성전자 갤럭시북5 NT750XHW-A71A 16GB 256GB 사무용 AI 노트북"/>
    <n v="6859"/>
    <n v="25"/>
    <n v="30773"/>
    <n v="0"/>
    <n v="0"/>
    <m/>
  </r>
  <r>
    <s v="2026년"/>
    <s v="10월"/>
    <x v="3"/>
    <x v="18"/>
    <x v="0"/>
    <x v="4"/>
    <x v="0"/>
    <x v="5"/>
    <x v="6"/>
    <x v="5"/>
    <s v="삼성전자 갤럭시북5 NT750XHW-A71A 16GB 256GB 사무용 AI 노트북"/>
    <n v="7870"/>
    <n v="38"/>
    <n v="41658"/>
    <n v="2"/>
    <n v="3615800"/>
    <m/>
  </r>
  <r>
    <s v="2026년"/>
    <s v="10월"/>
    <x v="3"/>
    <x v="19"/>
    <x v="0"/>
    <x v="4"/>
    <x v="0"/>
    <x v="5"/>
    <x v="6"/>
    <x v="5"/>
    <s v="삼성전자 갤럭시북5 NT750XHW-A71A 16GB 256GB 사무용 AI 노트북"/>
    <n v="6240"/>
    <n v="18"/>
    <n v="14238"/>
    <n v="0"/>
    <n v="0"/>
    <m/>
  </r>
  <r>
    <s v="2026년"/>
    <s v="10월"/>
    <x v="3"/>
    <x v="20"/>
    <x v="0"/>
    <x v="4"/>
    <x v="0"/>
    <x v="5"/>
    <x v="6"/>
    <x v="5"/>
    <s v="삼성전자 갤럭시북5 NT750XHW-A71A 16GB 256GB 사무용 AI 노트북"/>
    <n v="8321"/>
    <n v="28"/>
    <n v="18405"/>
    <n v="1"/>
    <n v="2411000"/>
    <m/>
  </r>
  <r>
    <s v="2026년"/>
    <s v="10월"/>
    <x v="3"/>
    <x v="21"/>
    <x v="0"/>
    <x v="4"/>
    <x v="0"/>
    <x v="5"/>
    <x v="6"/>
    <x v="5"/>
    <s v="삼성전자 갤럭시북5 NT750XHW-A71A 16GB 256GB 사무용 AI 노트북"/>
    <n v="8308"/>
    <n v="28"/>
    <n v="35708"/>
    <n v="0"/>
    <n v="0"/>
    <m/>
  </r>
  <r>
    <s v="2026년"/>
    <s v="10월"/>
    <x v="3"/>
    <x v="22"/>
    <x v="0"/>
    <x v="4"/>
    <x v="0"/>
    <x v="5"/>
    <x v="6"/>
    <x v="5"/>
    <s v="삼성전자 갤럭시북5 NT750XHW-A71A 16GB 256GB 사무용 AI 노트북"/>
    <n v="8886"/>
    <n v="22"/>
    <n v="20622"/>
    <n v="1"/>
    <n v="2574900"/>
    <m/>
  </r>
  <r>
    <s v="2026년"/>
    <s v="10월"/>
    <x v="3"/>
    <x v="23"/>
    <x v="0"/>
    <x v="4"/>
    <x v="0"/>
    <x v="5"/>
    <x v="6"/>
    <x v="5"/>
    <s v="삼성전자 갤럭시북5 NT750XHW-A71A 16GB 256GB 사무용 AI 노트북"/>
    <n v="7109"/>
    <n v="23"/>
    <n v="23946"/>
    <n v="0"/>
    <n v="0"/>
    <m/>
  </r>
  <r>
    <s v="2026년"/>
    <s v="10월"/>
    <x v="3"/>
    <x v="17"/>
    <x v="0"/>
    <x v="4"/>
    <x v="0"/>
    <x v="5"/>
    <x v="7"/>
    <x v="6"/>
    <s v="삼성전자 갤럭시북5 프로 NT940XHA-K71AR 울트라7 32GB 윈도우 터치 노트북"/>
    <n v="11012"/>
    <n v="47"/>
    <n v="52048"/>
    <n v="0"/>
    <n v="0"/>
    <m/>
  </r>
  <r>
    <s v="2026년"/>
    <s v="10월"/>
    <x v="3"/>
    <x v="18"/>
    <x v="0"/>
    <x v="4"/>
    <x v="0"/>
    <x v="5"/>
    <x v="7"/>
    <x v="6"/>
    <s v="삼성전자 갤럭시북5 프로 NT940XHA-K71AR 울트라7 32GB 윈도우 터치 노트북"/>
    <n v="12026"/>
    <n v="40"/>
    <n v="37079"/>
    <n v="0"/>
    <n v="0"/>
    <m/>
  </r>
  <r>
    <s v="2026년"/>
    <s v="10월"/>
    <x v="3"/>
    <x v="19"/>
    <x v="0"/>
    <x v="4"/>
    <x v="0"/>
    <x v="5"/>
    <x v="7"/>
    <x v="6"/>
    <s v="삼성전자 갤럭시북5 프로 NT940XHA-K71AR 울트라7 32GB 윈도우 터치 노트북"/>
    <n v="11122"/>
    <n v="35"/>
    <n v="51266"/>
    <n v="0"/>
    <n v="0"/>
    <m/>
  </r>
  <r>
    <s v="2026년"/>
    <s v="10월"/>
    <x v="3"/>
    <x v="20"/>
    <x v="0"/>
    <x v="4"/>
    <x v="0"/>
    <x v="5"/>
    <x v="7"/>
    <x v="6"/>
    <s v="삼성전자 갤럭시북5 프로 NT940XHA-K71AR 울트라7 32GB 윈도우 터치 노트북"/>
    <n v="13784"/>
    <n v="64"/>
    <n v="74046"/>
    <n v="0"/>
    <n v="0"/>
    <m/>
  </r>
  <r>
    <s v="2026년"/>
    <s v="10월"/>
    <x v="3"/>
    <x v="21"/>
    <x v="0"/>
    <x v="4"/>
    <x v="0"/>
    <x v="5"/>
    <x v="7"/>
    <x v="6"/>
    <s v="삼성전자 갤럭시북5 프로 NT940XHA-K71AR 울트라7 32GB 윈도우 터치 노트북"/>
    <n v="10770"/>
    <n v="38"/>
    <n v="50894"/>
    <n v="0"/>
    <n v="0"/>
    <m/>
  </r>
  <r>
    <s v="2026년"/>
    <s v="10월"/>
    <x v="3"/>
    <x v="22"/>
    <x v="0"/>
    <x v="4"/>
    <x v="0"/>
    <x v="5"/>
    <x v="7"/>
    <x v="6"/>
    <s v="삼성전자 갤럭시북5 프로 NT940XHA-K71AR 울트라7 32GB 윈도우 터치 노트북"/>
    <n v="10753"/>
    <n v="46"/>
    <n v="30688"/>
    <n v="2"/>
    <n v="13516000"/>
    <m/>
  </r>
  <r>
    <s v="2026년"/>
    <s v="10월"/>
    <x v="3"/>
    <x v="23"/>
    <x v="0"/>
    <x v="4"/>
    <x v="0"/>
    <x v="5"/>
    <x v="7"/>
    <x v="6"/>
    <s v="삼성전자 갤럭시북5 프로 NT940XHA-K71AR 울트라7 32GB 윈도우 터치 노트북"/>
    <n v="9916"/>
    <n v="42"/>
    <n v="38207"/>
    <n v="2"/>
    <n v="6273000"/>
    <m/>
  </r>
  <r>
    <s v="2026년"/>
    <s v="10월"/>
    <x v="3"/>
    <x v="17"/>
    <x v="0"/>
    <x v="2"/>
    <x v="0"/>
    <x v="2"/>
    <x v="2"/>
    <x v="2"/>
    <s v="삼성 갤럭시북5 프로360 NT960QHA-K71AR 그레이 32GB SSD1TB 노트북"/>
    <n v="20984"/>
    <n v="104"/>
    <n v="151373"/>
    <n v="0"/>
    <n v="0"/>
    <m/>
  </r>
  <r>
    <s v="2026년"/>
    <s v="10월"/>
    <x v="3"/>
    <x v="18"/>
    <x v="0"/>
    <x v="2"/>
    <x v="0"/>
    <x v="2"/>
    <x v="2"/>
    <x v="2"/>
    <s v="삼성 갤럭시북5 프로360 NT960QHA-K71AR 그레이 32GB SSD1TB 노트북"/>
    <n v="17006"/>
    <n v="105"/>
    <n v="163201"/>
    <n v="0"/>
    <n v="0"/>
    <m/>
  </r>
  <r>
    <s v="2026년"/>
    <s v="10월"/>
    <x v="3"/>
    <x v="19"/>
    <x v="0"/>
    <x v="2"/>
    <x v="0"/>
    <x v="2"/>
    <x v="2"/>
    <x v="2"/>
    <s v="삼성 갤럭시북5 프로360 NT960QHA-K71AR 그레이 32GB SSD1TB 노트북"/>
    <n v="19663"/>
    <n v="97"/>
    <n v="158101"/>
    <n v="2"/>
    <n v="7009100"/>
    <m/>
  </r>
  <r>
    <s v="2026년"/>
    <s v="10월"/>
    <x v="3"/>
    <x v="20"/>
    <x v="0"/>
    <x v="2"/>
    <x v="0"/>
    <x v="2"/>
    <x v="2"/>
    <x v="2"/>
    <s v="삼성 갤럭시북5 프로360 NT960QHA-K71AR 그레이 32GB SSD1TB 노트북"/>
    <n v="20512"/>
    <n v="103"/>
    <n v="154646"/>
    <n v="0"/>
    <n v="0"/>
    <m/>
  </r>
  <r>
    <s v="2026년"/>
    <s v="10월"/>
    <x v="3"/>
    <x v="21"/>
    <x v="0"/>
    <x v="2"/>
    <x v="0"/>
    <x v="2"/>
    <x v="2"/>
    <x v="2"/>
    <s v="삼성 갤럭시북5 프로360 NT960QHA-K71AR 그레이 32GB SSD1TB 노트북"/>
    <n v="23221"/>
    <n v="100"/>
    <n v="161196"/>
    <n v="1"/>
    <n v="3738800"/>
    <m/>
  </r>
  <r>
    <s v="2026년"/>
    <s v="10월"/>
    <x v="3"/>
    <x v="22"/>
    <x v="0"/>
    <x v="2"/>
    <x v="0"/>
    <x v="2"/>
    <x v="2"/>
    <x v="2"/>
    <s v="삼성 갤럭시북5 프로360 NT960QHA-K71AR 그레이 32GB SSD1TB 노트북"/>
    <n v="20114"/>
    <n v="83"/>
    <n v="125870"/>
    <n v="0"/>
    <n v="0"/>
    <m/>
  </r>
  <r>
    <s v="2026년"/>
    <s v="10월"/>
    <x v="3"/>
    <x v="23"/>
    <x v="0"/>
    <x v="2"/>
    <x v="0"/>
    <x v="2"/>
    <x v="2"/>
    <x v="2"/>
    <s v="삼성 갤럭시북5 프로360 NT960QHA-K71AR 그레이 32GB SSD1TB 노트북"/>
    <n v="19164"/>
    <n v="82"/>
    <n v="140486"/>
    <n v="1"/>
    <n v="3489000"/>
    <m/>
  </r>
  <r>
    <s v="2026년"/>
    <s v="10월"/>
    <x v="3"/>
    <x v="17"/>
    <x v="0"/>
    <x v="4"/>
    <x v="0"/>
    <x v="5"/>
    <x v="8"/>
    <x v="7"/>
    <s v="삼성전자 갤럭시북4 NT750XGR-A71A i7 16GB 512GB 사무용 노트북"/>
    <n v="36840"/>
    <n v="85"/>
    <n v="94681"/>
    <n v="0"/>
    <n v="0"/>
    <m/>
  </r>
  <r>
    <s v="2026년"/>
    <s v="10월"/>
    <x v="3"/>
    <x v="18"/>
    <x v="0"/>
    <x v="4"/>
    <x v="0"/>
    <x v="5"/>
    <x v="8"/>
    <x v="7"/>
    <s v="삼성전자 갤럭시북4 NT750XGR-A71A i7 16GB 512GB 사무용 노트북"/>
    <n v="32969"/>
    <n v="78"/>
    <n v="79985"/>
    <n v="1"/>
    <n v="1415000"/>
    <m/>
  </r>
  <r>
    <s v="2026년"/>
    <s v="10월"/>
    <x v="3"/>
    <x v="19"/>
    <x v="0"/>
    <x v="4"/>
    <x v="0"/>
    <x v="5"/>
    <x v="8"/>
    <x v="7"/>
    <s v="삼성전자 갤럭시북4 NT750XGR-A71A i7 16GB 512GB 사무용 노트북"/>
    <n v="40391"/>
    <n v="71"/>
    <n v="72733"/>
    <n v="1"/>
    <n v="1415000"/>
    <m/>
  </r>
  <r>
    <s v="2026년"/>
    <s v="10월"/>
    <x v="3"/>
    <x v="20"/>
    <x v="0"/>
    <x v="4"/>
    <x v="0"/>
    <x v="5"/>
    <x v="8"/>
    <x v="7"/>
    <s v="삼성전자 갤럭시북4 NT750XGR-A71A i7 16GB 512GB 사무용 노트북"/>
    <n v="32665"/>
    <n v="69"/>
    <n v="69262"/>
    <n v="3"/>
    <n v="4619060"/>
    <m/>
  </r>
  <r>
    <s v="2026년"/>
    <s v="10월"/>
    <x v="3"/>
    <x v="21"/>
    <x v="0"/>
    <x v="4"/>
    <x v="0"/>
    <x v="5"/>
    <x v="8"/>
    <x v="7"/>
    <s v="삼성전자 갤럭시북4 NT750XGR-A71A i7 16GB 512GB 사무용 노트북"/>
    <n v="36124"/>
    <n v="68"/>
    <n v="73037"/>
    <n v="4"/>
    <n v="5511640"/>
    <m/>
  </r>
  <r>
    <s v="2026년"/>
    <s v="10월"/>
    <x v="3"/>
    <x v="22"/>
    <x v="0"/>
    <x v="4"/>
    <x v="0"/>
    <x v="5"/>
    <x v="8"/>
    <x v="7"/>
    <s v="삼성전자 갤럭시북4 NT750XGR-A71A i7 16GB 512GB 사무용 노트북"/>
    <n v="34108"/>
    <n v="101"/>
    <n v="99469"/>
    <n v="10"/>
    <n v="15240340"/>
    <m/>
  </r>
  <r>
    <s v="2026년"/>
    <s v="10월"/>
    <x v="3"/>
    <x v="23"/>
    <x v="0"/>
    <x v="4"/>
    <x v="0"/>
    <x v="5"/>
    <x v="8"/>
    <x v="7"/>
    <s v="삼성전자 갤럭시북4 NT750XGR-A71A i7 16GB 512GB 사무용 노트북"/>
    <n v="69538"/>
    <n v="98"/>
    <n v="78866"/>
    <n v="25"/>
    <n v="34899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9A258-B048-4FE0-A262-69D6285C04FB}" name="피벗 테이블6" cacheId="0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multipleFieldFilters="0" chartFormat="5" rowHeaderCaption="주차">
  <location ref="B108:AB112" firstHeaderRow="1" firstDataRow="3" firstDataCol="3" rowPageCount="1" colPageCount="1"/>
  <pivotFields count="25"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sortType="ascending" defaultSubtotal="0">
      <items count="5">
        <item h="1" x="0"/>
        <item h="1" x="1"/>
        <item h="1" x="2"/>
        <item h="1" x="3"/>
        <item x="4"/>
      </items>
    </pivotField>
    <pivotField axis="axisCol" compact="0" outline="0" subtotalTop="0" showAll="0" sortType="ascending" defaultSubtotal="0">
      <items count="25">
        <item x="1"/>
        <item x="2"/>
        <item x="0"/>
        <item x="9"/>
        <item x="8"/>
        <item x="7"/>
        <item x="6"/>
        <item x="5"/>
        <item x="4"/>
        <item x="3"/>
        <item x="16"/>
        <item x="15"/>
        <item x="14"/>
        <item x="13"/>
        <item x="12"/>
        <item x="11"/>
        <item x="10"/>
        <item x="23"/>
        <item x="22"/>
        <item x="21"/>
        <item x="20"/>
        <item x="19"/>
        <item x="18"/>
        <item x="17"/>
        <item x="24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7">
        <item x="6"/>
        <item x="0"/>
        <item x="1"/>
        <item x="2"/>
        <item x="3"/>
        <item x="4"/>
        <item x="5"/>
      </items>
    </pivotField>
    <pivotField compact="0" outline="0" subtotalTop="0" multipleItemSelectionAllowed="1" showAll="0" defaultSubtotal="0"/>
    <pivotField compact="0" outline="0" subtotalTop="0" showAll="0" defaultSubtotal="0"/>
    <pivotField axis="axisRow" compact="0" outline="0" subtotalTop="0" showAll="0" sortType="descending" defaultSubtotal="0">
      <items count="11">
        <item x="10"/>
        <item x="0"/>
        <item x="1"/>
        <item x="2"/>
        <item x="3"/>
        <item x="4"/>
        <item x="9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ubtotalTop="0" showAll="0" sortType="descending" defaultSubtotal="0">
      <items count="9">
        <item x="8"/>
        <item x="3"/>
        <item x="0"/>
        <item x="1"/>
        <item x="2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defaultSubtotal="0">
      <items count="12"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3">
    <field x="9"/>
    <field x="8"/>
    <field x="10"/>
  </rowFields>
  <rowItems count="2">
    <i>
      <x/>
      <x/>
      <x/>
    </i>
    <i t="grand">
      <x/>
    </i>
  </rowItems>
  <colFields count="2">
    <field x="-2"/>
    <field x="3"/>
  </colFields>
  <colItems count="24">
    <i>
      <x/>
      <x v="24"/>
    </i>
    <i i="1">
      <x v="1"/>
      <x v="24"/>
    </i>
    <i i="2">
      <x v="2"/>
      <x v="24"/>
    </i>
    <i i="3">
      <x v="3"/>
      <x v="24"/>
    </i>
    <i i="4">
      <x v="4"/>
      <x v="24"/>
    </i>
    <i i="5">
      <x v="5"/>
      <x v="24"/>
    </i>
    <i i="6">
      <x v="6"/>
      <x v="24"/>
    </i>
    <i i="7">
      <x v="7"/>
      <x v="24"/>
    </i>
    <i i="8">
      <x v="8"/>
      <x v="24"/>
    </i>
    <i i="9">
      <x v="9"/>
      <x v="24"/>
    </i>
    <i i="10">
      <x v="10"/>
      <x v="24"/>
    </i>
    <i i="11">
      <x v="11"/>
      <x v="24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</colItems>
  <pageFields count="1">
    <pageField fld="2" hier="-1"/>
  </pageFields>
  <dataFields count="12">
    <dataField name=" 비용(vat미포함)" fld="19" baseField="1" baseItem="0" numFmtId="41"/>
    <dataField name="ROAS" fld="20" baseField="1" baseItem="80" numFmtId="9"/>
    <dataField name="구매전환매출 " fld="15" baseField="1" baseItem="80" numFmtId="177"/>
    <dataField name="CVR" fld="21" baseField="1" baseItem="80" numFmtId="183"/>
    <dataField name=" 노출수" fld="11" baseField="1" baseItem="0" numFmtId="41"/>
    <dataField name=" 클릭수" fld="12" baseField="1" baseItem="0" numFmtId="41"/>
    <dataField name="CPM" fld="22" baseField="0" baseItem="0" numFmtId="41"/>
    <dataField name=" CPC" fld="17" baseField="1" baseItem="0" numFmtId="41"/>
    <dataField name=" CTR" fld="18" baseField="1" baseItem="0" numFmtId="10"/>
    <dataField name="구매전환수 " fld="14" baseField="1" baseItem="80" numFmtId="177"/>
    <dataField name="객단가" fld="23" baseField="0" baseItem="0" numFmtId="177"/>
    <dataField name="CPA" fld="24" baseField="7" baseItem="4" numFmtId="177"/>
  </dataFields>
  <formats count="115">
    <format dxfId="114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2">
      <pivotArea field="2" type="button" dataOnly="0" labelOnly="1" outline="0" axis="axisPage" fieldPosition="0"/>
    </format>
    <format dxfId="111">
      <pivotArea field="2" type="button" dataOnly="0" labelOnly="1" outline="0" axis="axisPage" fieldPosition="0"/>
    </format>
    <format dxfId="110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09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07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06">
      <pivotArea field="2" type="button" dataOnly="0" labelOnly="1" outline="0" axis="axisPage" fieldPosition="0"/>
    </format>
    <format dxfId="10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04">
      <pivotArea dataOnly="0" labelOnly="1" grandRow="1" outline="0" fieldPosition="0"/>
    </format>
    <format dxfId="103">
      <pivotArea collapsedLevelsAreSubtotals="1" fieldPosition="0">
        <references count="1">
          <reference field="2" count="0"/>
        </references>
      </pivotArea>
    </format>
    <format dxfId="102">
      <pivotArea dataOnly="0" labelOnly="1" fieldPosition="0">
        <references count="1">
          <reference field="2" count="0"/>
        </references>
      </pivotArea>
    </format>
    <format dxfId="101">
      <pivotArea outline="0" fieldPosition="0">
        <references count="1">
          <reference field="4294967294" count="1">
            <x v="4"/>
          </reference>
        </references>
      </pivotArea>
    </format>
    <format dxfId="100">
      <pivotArea outline="0" fieldPosition="0">
        <references count="1">
          <reference field="4294967294" count="1">
            <x v="5"/>
          </reference>
        </references>
      </pivotArea>
    </format>
    <format dxfId="99">
      <pivotArea type="all" dataOnly="0" outline="0" fieldPosition="0"/>
    </format>
    <format dxfId="98">
      <pivotArea field="2" type="button" dataOnly="0" labelOnly="1" outline="0" axis="axisPage" fieldPosition="0"/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4">
            <x v="4"/>
            <x v="5"/>
            <x v="7"/>
            <x v="8"/>
          </reference>
        </references>
      </pivotArea>
    </format>
    <format dxfId="94">
      <pivotArea field="4" type="button" dataOnly="0" labelOnly="1" outline="0"/>
    </format>
    <format dxfId="93">
      <pivotArea field="4" type="button" dataOnly="0" labelOnly="1" outline="0"/>
    </format>
    <format dxfId="92">
      <pivotArea field="2" type="button" dataOnly="0" labelOnly="1" outline="0" axis="axisPage" fieldPosition="0"/>
    </format>
    <format dxfId="91">
      <pivotArea dataOnly="0" labelOnly="1" outline="0" fieldPosition="0">
        <references count="1">
          <reference field="4294967294" count="4">
            <x v="4"/>
            <x v="5"/>
            <x v="7"/>
            <x v="8"/>
          </reference>
        </references>
      </pivotArea>
    </format>
    <format dxfId="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9">
      <pivotArea type="all" dataOnly="0" outline="0" fieldPosition="0"/>
    </format>
    <format dxfId="88">
      <pivotArea field="4" type="button" dataOnly="0" labelOnly="1" outline="0"/>
    </format>
    <format dxfId="87">
      <pivotArea field="2" type="button" dataOnly="0" labelOnly="1" outline="0" axis="axisPage" fieldPosition="0"/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84">
      <pivotArea field="4" type="button" dataOnly="0" labelOnly="1" outline="0"/>
    </format>
    <format dxfId="83">
      <pivotArea field="2" type="button" dataOnly="0" labelOnly="1" outline="0" axis="axisPage" fieldPosition="0"/>
    </format>
    <format dxfId="82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81">
      <pivotArea field="4" type="button" dataOnly="0" labelOnly="1" outline="0"/>
    </format>
    <format dxfId="80">
      <pivotArea field="2" type="button" dataOnly="0" labelOnly="1" outline="0" axis="axisPage" fieldPosition="0"/>
    </format>
    <format dxfId="79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78">
      <pivotArea type="all" dataOnly="0" outline="0" fieldPosition="0"/>
    </format>
    <format dxfId="77">
      <pivotArea field="4" type="button" dataOnly="0" labelOnly="1" outline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64">
      <pivotArea field="4" type="button" dataOnly="0" labelOnly="1" outline="0"/>
    </format>
    <format dxfId="63">
      <pivotArea type="all" dataOnly="0" outline="0" fieldPosition="0"/>
    </format>
    <format dxfId="62">
      <pivotArea field="4" type="button" dataOnly="0" labelOnly="1" outline="0"/>
    </format>
    <format dxfId="61">
      <pivotArea field="2" type="button" dataOnly="0" labelOnly="1" outline="0" axis="axisPage" fieldPosition="0"/>
    </format>
    <format dxfId="60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59">
      <pivotArea outline="0" fieldPosition="0">
        <references count="1">
          <reference field="4294967294" count="1" selected="0">
            <x v="7"/>
          </reference>
        </references>
      </pivotArea>
    </format>
    <format dxfId="58">
      <pivotArea dataOnly="0" labelOnly="1" outline="0" fieldPosition="0">
        <references count="1">
          <reference field="4294967294" count="5">
            <x v="0"/>
            <x v="4"/>
            <x v="5"/>
            <x v="7"/>
            <x v="8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2" count="0"/>
        </references>
      </pivotArea>
    </format>
    <format dxfId="5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">
      <pivotArea outline="0" fieldPosition="0">
        <references count="1">
          <reference field="4294967294" count="1">
            <x v="2"/>
          </reference>
        </references>
      </pivotArea>
    </format>
    <format dxfId="51">
      <pivotArea outline="0" fieldPosition="0">
        <references count="1">
          <reference field="4294967294" count="1">
            <x v="9"/>
          </reference>
        </references>
      </pivotArea>
    </format>
    <format dxfId="50">
      <pivotArea field="4" type="button" dataOnly="0" labelOnly="1" outline="0"/>
    </format>
    <format dxfId="49">
      <pivotArea field="2" type="button" dataOnly="0" labelOnly="1" outline="0" axis="axisPage" fieldPosition="0"/>
    </format>
    <format dxfId="48">
      <pivotArea dataOnly="0" labelOnly="1" outline="0" fieldPosition="0">
        <references count="1">
          <reference field="4294967294" count="8">
            <x v="0"/>
            <x v="1"/>
            <x v="2"/>
            <x v="4"/>
            <x v="5"/>
            <x v="7"/>
            <x v="8"/>
            <x v="9"/>
          </reference>
        </references>
      </pivotArea>
    </format>
    <format dxfId="47">
      <pivotArea outline="0" fieldPosition="0">
        <references count="1">
          <reference field="4294967294" count="1">
            <x v="1"/>
          </reference>
        </references>
      </pivotArea>
    </format>
    <format dxfId="46">
      <pivotArea outline="0" fieldPosition="0">
        <references count="1">
          <reference field="4294967294" count="1">
            <x v="3"/>
          </reference>
        </references>
      </pivotArea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type="all" dataOnly="0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5" type="button" dataOnly="0" labelOnly="1" outline="0"/>
    </format>
    <format dxfId="39">
      <pivotArea field="9" type="button" dataOnly="0" labelOnly="1" outline="0" axis="axisRow" fieldPosition="0"/>
    </format>
    <format dxfId="38">
      <pivotArea field="8" type="button" dataOnly="0" labelOnly="1" outline="0" axis="axisRow" fieldPosition="1"/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5">
      <pivotArea outline="0" fieldPosition="0">
        <references count="1">
          <reference field="4294967294" count="1">
            <x v="11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-2" type="button" dataOnly="0" labelOnly="1" outline="0" axis="axisCol" fieldPosition="0"/>
    </format>
    <format dxfId="30">
      <pivotArea field="2" type="button" dataOnly="0" labelOnly="1" outline="0" axis="axisPage" fieldPosition="0"/>
    </format>
    <format dxfId="29">
      <pivotArea type="topRight" dataOnly="0" labelOnly="1" outline="0" fieldPosition="0"/>
    </format>
    <format dxfId="28">
      <pivotArea field="9" type="button" dataOnly="0" labelOnly="1" outline="0" axis="axisRow" fieldPosition="0"/>
    </format>
    <format dxfId="27">
      <pivotArea field="8" type="button" dataOnly="0" labelOnly="1" outline="0" axis="axisRow" fieldPosition="1"/>
    </format>
    <format dxfId="26">
      <pivotArea field="10" type="button" dataOnly="0" labelOnly="1" outline="0" axis="axisRow" fieldPosition="2"/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3">
      <pivotArea field="2" dataOnly="0" labelOnly="1" outline="0" axis="axisPage" fieldPosition="0">
        <references count="1">
          <reference field="4294967294" count="1" selected="0">
            <x v="4"/>
          </reference>
        </references>
      </pivotArea>
    </format>
    <format dxfId="22">
      <pivotArea field="2" dataOnly="0" labelOnly="1" outline="0" axis="axisPage" fieldPosition="0">
        <references count="1">
          <reference field="4294967294" count="1" selected="0">
            <x v="5"/>
          </reference>
        </references>
      </pivotArea>
    </format>
    <format dxfId="21">
      <pivotArea field="2" dataOnly="0" labelOnly="1" outline="0" axis="axisPage" fieldPosition="0">
        <references count="1">
          <reference field="4294967294" count="1" selected="0">
            <x v="6"/>
          </reference>
        </references>
      </pivotArea>
    </format>
    <format dxfId="20">
      <pivotArea field="2" dataOnly="0" labelOnly="1" outline="0" axis="axisPage" fieldPosition="0">
        <references count="1">
          <reference field="4294967294" count="1" selected="0">
            <x v="7"/>
          </reference>
        </references>
      </pivotArea>
    </format>
    <format dxfId="19">
      <pivotArea field="2" dataOnly="0" labelOnly="1" outline="0" axis="axisPage" fieldPosition="0">
        <references count="1">
          <reference field="4294967294" count="1" selected="0">
            <x v="8"/>
          </reference>
        </references>
      </pivotArea>
    </format>
    <format dxfId="18">
      <pivotArea field="2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17">
      <pivotArea field="2" dataOnly="0" labelOnly="1" outline="0" axis="axisPage" fieldPosition="0">
        <references count="1">
          <reference field="4294967294" count="1" selected="0">
            <x v="9"/>
          </reference>
        </references>
      </pivotArea>
    </format>
    <format dxfId="16">
      <pivotArea field="2" dataOnly="0" labelOnly="1" outline="0" axis="axisPage" fieldPosition="0">
        <references count="1">
          <reference field="4294967294" count="1" selected="0">
            <x v="2"/>
          </reference>
        </references>
      </pivotArea>
    </format>
    <format dxfId="15">
      <pivotArea field="2" dataOnly="0" labelOnly="1" outline="0" axis="axisPage" fieldPosition="0">
        <references count="1">
          <reference field="4294967294" count="1" selected="0">
            <x v="1"/>
          </reference>
        </references>
      </pivotArea>
    </format>
    <format dxfId="14">
      <pivotArea field="2" dataOnly="0" labelOnly="1" outline="0" axis="axisPage" fieldPosition="0">
        <references count="1">
          <reference field="4294967294" count="1" selected="0">
            <x v="3"/>
          </reference>
        </references>
      </pivotArea>
    </format>
    <format dxfId="13">
      <pivotArea field="2" dataOnly="0" labelOnly="1" outline="0" axis="axisPage" fieldPosition="0">
        <references count="1">
          <reference field="4294967294" count="1" selected="0">
            <x v="10"/>
          </reference>
        </references>
      </pivotArea>
    </format>
    <format dxfId="12">
      <pivotArea field="2" dataOnly="0" labelOnly="1" outline="0" axis="axisPage" fieldPosition="0">
        <references count="1">
          <reference field="4294967294" count="1" selected="0">
            <x v="11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4"/>
          </reference>
          <reference field="2" count="0"/>
        </references>
      </pivotArea>
    </format>
    <format dxfId="10">
      <pivotArea dataOnly="0" labelOnly="1" outline="0" fieldPosition="0">
        <references count="2">
          <reference field="4294967294" count="1" selected="0">
            <x v="5"/>
          </reference>
          <reference field="2" count="0"/>
        </references>
      </pivotArea>
    </format>
    <format dxfId="9">
      <pivotArea dataOnly="0" labelOnly="1" outline="0" fieldPosition="0">
        <references count="2">
          <reference field="4294967294" count="1" selected="0">
            <x v="6"/>
          </reference>
          <reference field="2" count="0"/>
        </references>
      </pivotArea>
    </format>
    <format dxfId="8">
      <pivotArea dataOnly="0" labelOnly="1" outline="0" fieldPosition="0">
        <references count="2">
          <reference field="4294967294" count="1" selected="0">
            <x v="7"/>
          </reference>
          <reference field="2" count="0"/>
        </references>
      </pivotArea>
    </format>
    <format dxfId="7">
      <pivotArea dataOnly="0" labelOnly="1" outline="0" fieldPosition="0">
        <references count="2">
          <reference field="4294967294" count="1" selected="0">
            <x v="8"/>
          </reference>
          <reference field="2" count="0"/>
        </references>
      </pivotArea>
    </format>
    <format dxfId="6">
      <pivotArea dataOnly="0" labelOnly="1" outline="0" fieldPosition="0">
        <references count="2">
          <reference field="4294967294" count="1" selected="0">
            <x v="0"/>
          </reference>
          <reference field="2" count="0"/>
        </references>
      </pivotArea>
    </format>
    <format dxfId="5">
      <pivotArea dataOnly="0" labelOnly="1" outline="0" fieldPosition="0">
        <references count="2">
          <reference field="4294967294" count="1" selected="0">
            <x v="9"/>
          </reference>
          <reference field="2" count="0"/>
        </references>
      </pivotArea>
    </format>
    <format dxfId="4">
      <pivotArea dataOnly="0" labelOnly="1" outline="0" fieldPosition="0">
        <references count="2">
          <reference field="4294967294" count="1" selected="0">
            <x v="2"/>
          </reference>
          <reference field="2" count="0"/>
        </references>
      </pivotArea>
    </format>
    <format dxfId="3">
      <pivotArea dataOnly="0" labelOnly="1" outline="0" fieldPosition="0">
        <references count="2">
          <reference field="4294967294" count="1" selected="0">
            <x v="1"/>
          </reference>
          <reference field="2" count="0"/>
        </references>
      </pivotArea>
    </format>
    <format dxfId="2">
      <pivotArea dataOnly="0" labelOnly="1" outline="0" fieldPosition="0">
        <references count="2">
          <reference field="4294967294" count="1" selected="0">
            <x v="3"/>
          </reference>
          <reference field="2" count="0"/>
        </references>
      </pivotArea>
    </format>
    <format dxfId="1">
      <pivotArea dataOnly="0" labelOnly="1" outline="0" fieldPosition="0">
        <references count="2">
          <reference field="4294967294" count="1" selected="0">
            <x v="10"/>
          </reference>
          <reference field="2" count="0"/>
        </references>
      </pivotArea>
    </format>
    <format dxfId="0">
      <pivotArea dataOnly="0" labelOnly="1" outline="0" fieldPosition="0">
        <references count="2">
          <reference field="4294967294" count="1" selected="0">
            <x v="11"/>
          </reference>
          <reference field="2" count="0"/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4BA17-4CE9-414C-9551-B620D2A89247}" name="피벗 테이블5" cacheId="0" applyNumberFormats="0" applyBorderFormats="0" applyFontFormats="0" applyPatternFormats="0" applyAlignmentFormats="0" applyWidthHeightFormats="1" dataCaption="값" updatedVersion="8" minRefreshableVersion="3" rowGrandTotals="0" colGrandTotals="0" itemPrintTitles="1" createdVersion="6" indent="0" compact="0" compactData="0" multipleFieldFilters="0" chartFormat="5" rowHeaderCaption="주차">
  <location ref="B97:N98" firstHeaderRow="0" firstDataRow="1" firstDataCol="1" rowPageCount="3" colPageCount="1"/>
  <pivotFields count="25">
    <pivotField compact="0" outline="0" subtotalTop="0" showAll="0" defaultSubtotal="0"/>
    <pivotField compact="0" outline="0" subtotalTop="0" showAll="0" defaultSubtotal="0"/>
    <pivotField axis="axisRow" compact="0" outline="0" subtotalTop="0" multipleItemSelectionAllowed="1" showAll="0" sortType="ascending" defaultSubtotal="0">
      <items count="5">
        <item h="1" x="0"/>
        <item h="1" x="1"/>
        <item h="1" x="2"/>
        <item h="1" x="3"/>
        <item x="4"/>
      </items>
    </pivotField>
    <pivotField axis="axisPage" compact="0" outline="0" subtotalTop="0" showAll="0" defaultSubtotal="0">
      <items count="25">
        <item x="24"/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7">
        <item x="6"/>
        <item x="0"/>
        <item x="1"/>
        <item x="2"/>
        <item x="3"/>
        <item x="4"/>
        <item x="5"/>
      </items>
    </pivotField>
    <pivotField axis="axisPage" compact="0" outline="0" subtotalTop="0" multipleItemSelectionAllowed="1" showAll="0" defaultSubtotal="0">
      <items count="3">
        <item x="0"/>
        <item x="2"/>
        <item x="1"/>
      </items>
    </pivotField>
    <pivotField compact="0" outline="0" subtotalTop="0" showAll="0" defaultSubtotal="0"/>
    <pivotField compact="0" outline="0" subtotalTop="0" showAll="0" sortType="descending" defaultSubtotal="0">
      <items count="11">
        <item x="10"/>
        <item x="0"/>
        <item x="1"/>
        <item x="2"/>
        <item x="3"/>
        <item x="4"/>
        <item x="9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axis="axisPage" compact="0" outline="0" subtotalTop="0" multipleItemSelectionAllowed="1" showAll="0" sortType="descending" defaultSubtotal="0">
      <items count="9">
        <item x="8"/>
        <item x="3"/>
        <item x="0"/>
        <item x="1"/>
        <item x="2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1">
    <field x="2"/>
  </rowFields>
  <rowItems count="1">
    <i>
      <x v="4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3">
    <pageField fld="3" hier="-1"/>
    <pageField fld="9" hier="-1"/>
    <pageField fld="6" hier="-1"/>
  </pageFields>
  <dataFields count="12">
    <dataField name=" 노출수" fld="11" baseField="1" baseItem="0" numFmtId="41"/>
    <dataField name=" 클릭수" fld="12" baseField="1" baseItem="0" numFmtId="41"/>
    <dataField name="CPM" fld="22" baseField="0" baseItem="0" numFmtId="41"/>
    <dataField name=" CPC" fld="17" baseField="1" baseItem="0" numFmtId="41"/>
    <dataField name=" CTR" fld="18" baseField="1" baseItem="0" numFmtId="10"/>
    <dataField name=" 비용(vat미포함)" fld="19" baseField="1" baseItem="0" numFmtId="41"/>
    <dataField name="구매전환수 " fld="14" baseField="1" baseItem="80" numFmtId="177"/>
    <dataField name="구매전환매출 " fld="15" baseField="1" baseItem="80" numFmtId="177"/>
    <dataField name="ROAS" fld="20" baseField="1" baseItem="80" numFmtId="9"/>
    <dataField name="CVR" fld="21" baseField="1" baseItem="80" numFmtId="183"/>
    <dataField name="객단가" fld="23" baseField="0" baseItem="0" numFmtId="177"/>
    <dataField name="CPA" fld="24" baseField="7" baseItem="4" numFmtId="177"/>
  </dataFields>
  <formats count="85">
    <format dxfId="19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9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7">
      <pivotArea field="2" type="button" dataOnly="0" labelOnly="1" outline="0" axis="axisRow" fieldPosition="0"/>
    </format>
    <format dxfId="196">
      <pivotArea field="2" type="button" dataOnly="0" labelOnly="1" outline="0" axis="axisRow" fieldPosition="0"/>
    </format>
    <format dxfId="1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91">
      <pivotArea field="2" type="button" dataOnly="0" labelOnly="1" outline="0" axis="axisRow" fieldPosition="0"/>
    </format>
    <format dxfId="1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">
      <pivotArea dataOnly="0" labelOnly="1" grandRow="1" outline="0" fieldPosition="0"/>
    </format>
    <format dxfId="188">
      <pivotArea collapsedLevelsAreSubtotals="1" fieldPosition="0">
        <references count="1">
          <reference field="2" count="0"/>
        </references>
      </pivotArea>
    </format>
    <format dxfId="187">
      <pivotArea dataOnly="0" labelOnly="1" fieldPosition="0">
        <references count="1">
          <reference field="2" count="0"/>
        </references>
      </pivotArea>
    </format>
    <format dxfId="186">
      <pivotArea outline="0" fieldPosition="0">
        <references count="1">
          <reference field="4294967294" count="1">
            <x v="0"/>
          </reference>
        </references>
      </pivotArea>
    </format>
    <format dxfId="185">
      <pivotArea outline="0" fieldPosition="0">
        <references count="1">
          <reference field="4294967294" count="1">
            <x v="1"/>
          </reference>
        </references>
      </pivotArea>
    </format>
    <format dxfId="184">
      <pivotArea type="all" dataOnly="0" outline="0" fieldPosition="0"/>
    </format>
    <format dxfId="183">
      <pivotArea field="2" type="button" dataOnly="0" labelOnly="1" outline="0" axis="axisRow" fieldPosition="0"/>
    </format>
    <format dxfId="182">
      <pivotArea dataOnly="0" labelOnly="1" fieldPosition="0">
        <references count="1">
          <reference field="2" count="0"/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179">
      <pivotArea field="4" type="button" dataOnly="0" labelOnly="1" outline="0"/>
    </format>
    <format dxfId="178">
      <pivotArea field="4" type="button" dataOnly="0" labelOnly="1" outline="0"/>
    </format>
    <format dxfId="177">
      <pivotArea field="2" type="button" dataOnly="0" labelOnly="1" outline="0" axis="axisRow" fieldPosition="0"/>
    </format>
    <format dxfId="176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4">
      <pivotArea type="all" dataOnly="0" outline="0" fieldPosition="0"/>
    </format>
    <format dxfId="173">
      <pivotArea field="4" type="button" dataOnly="0" labelOnly="1" outline="0"/>
    </format>
    <format dxfId="172">
      <pivotArea field="2" type="button" dataOnly="0" labelOnly="1" outline="0" axis="axisRow" fieldPosition="0"/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69">
      <pivotArea field="4" type="button" dataOnly="0" labelOnly="1" outline="0"/>
    </format>
    <format dxfId="168">
      <pivotArea field="2" type="button" dataOnly="0" labelOnly="1" outline="0" axis="axisRow" fieldPosition="0"/>
    </format>
    <format dxfId="167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66">
      <pivotArea field="4" type="button" dataOnly="0" labelOnly="1" outline="0"/>
    </format>
    <format dxfId="165">
      <pivotArea field="2" type="button" dataOnly="0" labelOnly="1" outline="0" axis="axisRow" fieldPosition="0"/>
    </format>
    <format dxfId="164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63">
      <pivotArea type="all" dataOnly="0" outline="0" fieldPosition="0"/>
    </format>
    <format dxfId="162">
      <pivotArea field="4" type="button" dataOnly="0" labelOnly="1" outline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49">
      <pivotArea field="4" type="button" dataOnly="0" labelOnly="1" outline="0"/>
    </format>
    <format dxfId="148">
      <pivotArea type="all" dataOnly="0" outline="0" fieldPosition="0"/>
    </format>
    <format dxfId="147">
      <pivotArea field="4" type="button" dataOnly="0" labelOnly="1" outline="0"/>
    </format>
    <format dxfId="146">
      <pivotArea field="2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44">
      <pivotArea outline="0" fieldPosition="0">
        <references count="1">
          <reference field="4294967294" count="1" selected="0">
            <x v="3"/>
          </reference>
        </references>
      </pivotArea>
    </format>
    <format dxfId="143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142">
      <pivotArea outline="0" collapsedLevelsAreSubtotals="1" fieldPosition="0"/>
    </format>
    <format dxfId="141">
      <pivotArea dataOnly="0" labelOnly="1" outline="0" fieldPosition="0">
        <references count="1">
          <reference field="2" count="0"/>
        </references>
      </pivotArea>
    </format>
    <format dxfId="14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3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37">
      <pivotArea outline="0" fieldPosition="0">
        <references count="1">
          <reference field="4294967294" count="1">
            <x v="7"/>
          </reference>
        </references>
      </pivotArea>
    </format>
    <format dxfId="136">
      <pivotArea outline="0" fieldPosition="0">
        <references count="1">
          <reference field="4294967294" count="1">
            <x v="6"/>
          </reference>
        </references>
      </pivotArea>
    </format>
    <format dxfId="135">
      <pivotArea field="4" type="button" dataOnly="0" labelOnly="1" outline="0"/>
    </format>
    <format dxfId="134">
      <pivotArea field="2" type="button" dataOnly="0" labelOnly="1" outline="0" axis="axisRow" fieldPosition="0"/>
    </format>
    <format dxfId="133">
      <pivotArea dataOnly="0" labelOnly="1" outline="0" fieldPosition="0">
        <references count="1">
          <reference field="4294967294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132">
      <pivotArea outline="0" fieldPosition="0">
        <references count="1">
          <reference field="4294967294" count="1">
            <x v="8"/>
          </reference>
        </references>
      </pivotArea>
    </format>
    <format dxfId="131">
      <pivotArea outline="0" fieldPosition="0">
        <references count="1">
          <reference field="4294967294" count="1">
            <x v="9"/>
          </reference>
        </references>
      </pivotArea>
    </format>
    <format dxfId="130">
      <pivotArea grandRow="1" outline="0" collapsedLevelsAreSubtotals="1" fieldPosition="0"/>
    </format>
    <format dxfId="129">
      <pivotArea dataOnly="0" labelOnly="1" grandRow="1" outline="0" fieldPosition="0"/>
    </format>
    <format dxfId="128">
      <pivotArea type="all" dataOnly="0" outline="0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5" type="button" dataOnly="0" labelOnly="1" outline="0"/>
    </format>
    <format dxfId="124">
      <pivotArea field="9" type="button" dataOnly="0" labelOnly="1" outline="0" axis="axisPage" fieldPosition="1"/>
    </format>
    <format dxfId="123">
      <pivotArea field="8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20">
      <pivotArea outline="0" fieldPosition="0">
        <references count="1">
          <reference field="4294967294" count="1">
            <x v="11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2" type="button" dataOnly="0" labelOnly="1" outline="0" axis="axisRow" fieldPosition="0"/>
    </format>
    <format dxfId="116">
      <pivotArea dataOnly="0" labelOnly="1" outline="0" fieldPosition="0">
        <references count="1">
          <reference field="2" count="0"/>
        </references>
      </pivotArea>
    </format>
    <format dxfId="11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60F31-B613-46C0-8512-82ABDCA1765D}" name="피벗 테이블1" cacheId="0" applyNumberFormats="0" applyBorderFormats="0" applyFontFormats="0" applyPatternFormats="0" applyAlignmentFormats="0" applyWidthHeightFormats="1" dataCaption="값" errorCaption="-" showError="1" missingCaption="-" updatedVersion="8" minRefreshableVersion="3" itemPrintTitles="1" createdVersion="6" indent="0" compact="0" compactData="0" multipleFieldFilters="0" chartFormat="5" rowHeaderCaption="주차">
  <location ref="B73:AB77" firstHeaderRow="1" firstDataRow="3" firstDataCol="3" rowPageCount="1" colPageCount="1"/>
  <pivotFields count="25">
    <pivotField compact="0" outline="0" subtotalTop="0" showAll="0" defaultSubtotal="0"/>
    <pivotField compact="0" outline="0" subtotalTop="0" showAll="0" defaultSubtotal="0"/>
    <pivotField axis="axisCol" compact="0" outline="0" subtotalTop="0" multipleItemSelectionAllowed="1" showAll="0" sortType="ascending" defaultSubtotal="0">
      <items count="5">
        <item h="1" x="0"/>
        <item h="1" x="1"/>
        <item h="1" x="2"/>
        <item h="1" x="3"/>
        <item x="4"/>
      </items>
    </pivotField>
    <pivotField axis="axisPage" compact="0" outline="0" subtotalTop="0" showAll="0" defaultSubtotal="0">
      <items count="25">
        <item x="24"/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7">
        <item x="6"/>
        <item x="0"/>
        <item x="1"/>
        <item x="2"/>
        <item x="3"/>
        <item x="4"/>
        <item x="5"/>
      </items>
    </pivotField>
    <pivotField compact="0" outline="0" subtotalTop="0" multipleItemSelectionAllowed="1" showAll="0" defaultSubtotal="0"/>
    <pivotField compact="0" outline="0" subtotalTop="0" showAll="0" defaultSubtotal="0"/>
    <pivotField axis="axisRow" compact="0" outline="0" subtotalTop="0" showAll="0" sortType="descending" defaultSubtotal="0">
      <items count="11">
        <item x="10"/>
        <item x="0"/>
        <item x="1"/>
        <item x="2"/>
        <item x="3"/>
        <item x="4"/>
        <item x="9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axis="axisRow" compact="0" outline="0" subtotalTop="0" showAll="0" defaultSubtotal="0">
      <items count="9">
        <item x="8"/>
        <item x="3"/>
        <item x="0"/>
        <item x="1"/>
        <item x="2"/>
        <item x="4"/>
        <item x="5"/>
        <item x="6"/>
        <item x="7"/>
      </items>
    </pivotField>
    <pivotField axis="axisRow" compact="0" outline="0" subtotalTop="0" showAll="0" defaultSubtotal="0">
      <items count="12"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3">
    <field x="9"/>
    <field x="8"/>
    <field x="10"/>
  </rowFields>
  <rowItems count="2">
    <i>
      <x/>
      <x/>
      <x/>
    </i>
    <i t="grand">
      <x/>
    </i>
  </rowItems>
  <colFields count="2">
    <field x="-2"/>
    <field x="2"/>
  </colFields>
  <colItems count="24">
    <i>
      <x/>
      <x v="4"/>
    </i>
    <i i="1">
      <x v="1"/>
      <x v="4"/>
    </i>
    <i i="2">
      <x v="2"/>
      <x v="4"/>
    </i>
    <i i="3">
      <x v="3"/>
      <x v="4"/>
    </i>
    <i i="4">
      <x v="4"/>
      <x v="4"/>
    </i>
    <i i="5">
      <x v="5"/>
      <x v="4"/>
    </i>
    <i i="6">
      <x v="6"/>
      <x v="4"/>
    </i>
    <i i="7">
      <x v="7"/>
      <x v="4"/>
    </i>
    <i i="8">
      <x v="8"/>
      <x v="4"/>
    </i>
    <i i="9">
      <x v="9"/>
      <x v="4"/>
    </i>
    <i i="10">
      <x v="10"/>
      <x v="4"/>
    </i>
    <i i="11">
      <x v="11"/>
      <x v="4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</colItems>
  <pageFields count="1">
    <pageField fld="3" hier="-1"/>
  </pageFields>
  <dataFields count="12">
    <dataField name=" 비용(vat미포함)" fld="19" baseField="1" baseItem="0" numFmtId="41"/>
    <dataField name="ROAS" fld="20" baseField="1" baseItem="80" numFmtId="9"/>
    <dataField name="구매전환수 " fld="14" baseField="1" baseItem="80" numFmtId="177"/>
    <dataField name="구매전환매출 " fld="15" baseField="10" baseItem="4" numFmtId="177"/>
    <dataField name="CVR" fld="21" baseField="1" baseItem="80" numFmtId="183"/>
    <dataField name="객단가" fld="23" baseField="0" baseItem="0" numFmtId="177"/>
    <dataField name=" 노출수" fld="11" baseField="1" baseItem="0" numFmtId="41"/>
    <dataField name=" 클릭수" fld="12" baseField="1" baseItem="0" numFmtId="41"/>
    <dataField name="CPM" fld="22" baseField="0" baseItem="0" numFmtId="41"/>
    <dataField name=" CPC" fld="17" baseField="1" baseItem="0" numFmtId="41"/>
    <dataField name=" CTR" fld="18" baseField="1" baseItem="0" numFmtId="10"/>
    <dataField name="CPA" fld="24" baseField="7" baseItem="4" numFmtId="177"/>
  </dataFields>
  <formats count="115">
    <format dxfId="314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12">
      <pivotArea field="2" type="button" dataOnly="0" labelOnly="1" outline="0" axis="axisCol" fieldPosition="1"/>
    </format>
    <format dxfId="311">
      <pivotArea field="2" type="button" dataOnly="0" labelOnly="1" outline="0" axis="axisCol" fieldPosition="1"/>
    </format>
    <format dxfId="310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309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30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07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306">
      <pivotArea field="2" type="button" dataOnly="0" labelOnly="1" outline="0" axis="axisCol" fieldPosition="1"/>
    </format>
    <format dxfId="305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304">
      <pivotArea dataOnly="0" labelOnly="1" grandRow="1" outline="0" fieldPosition="0"/>
    </format>
    <format dxfId="303">
      <pivotArea collapsedLevelsAreSubtotals="1" fieldPosition="0">
        <references count="1">
          <reference field="2" count="0"/>
        </references>
      </pivotArea>
    </format>
    <format dxfId="302">
      <pivotArea dataOnly="0" labelOnly="1" fieldPosition="0">
        <references count="1">
          <reference field="2" count="0"/>
        </references>
      </pivotArea>
    </format>
    <format dxfId="301">
      <pivotArea outline="0" fieldPosition="0">
        <references count="1">
          <reference field="4294967294" count="1">
            <x v="6"/>
          </reference>
        </references>
      </pivotArea>
    </format>
    <format dxfId="300">
      <pivotArea outline="0" fieldPosition="0">
        <references count="1">
          <reference field="4294967294" count="1">
            <x v="7"/>
          </reference>
        </references>
      </pivotArea>
    </format>
    <format dxfId="299">
      <pivotArea type="all" dataOnly="0" outline="0" fieldPosition="0"/>
    </format>
    <format dxfId="298">
      <pivotArea field="2" type="button" dataOnly="0" labelOnly="1" outline="0" axis="axisCol" fieldPosition="1"/>
    </format>
    <format dxfId="297">
      <pivotArea dataOnly="0" labelOnly="1" fieldPosition="0">
        <references count="1">
          <reference field="2" count="0"/>
        </references>
      </pivotArea>
    </format>
    <format dxfId="296">
      <pivotArea dataOnly="0" labelOnly="1" grandRow="1" outline="0" fieldPosition="0"/>
    </format>
    <format dxfId="295">
      <pivotArea dataOnly="0" labelOnly="1" outline="0" fieldPosition="0">
        <references count="1">
          <reference field="4294967294" count="4">
            <x v="6"/>
            <x v="7"/>
            <x v="9"/>
            <x v="10"/>
          </reference>
        </references>
      </pivotArea>
    </format>
    <format dxfId="294">
      <pivotArea field="4" type="button" dataOnly="0" labelOnly="1" outline="0"/>
    </format>
    <format dxfId="293">
      <pivotArea field="4" type="button" dataOnly="0" labelOnly="1" outline="0"/>
    </format>
    <format dxfId="292">
      <pivotArea field="2" type="button" dataOnly="0" labelOnly="1" outline="0" axis="axisCol" fieldPosition="1"/>
    </format>
    <format dxfId="291">
      <pivotArea dataOnly="0" labelOnly="1" outline="0" fieldPosition="0">
        <references count="1">
          <reference field="4294967294" count="4">
            <x v="6"/>
            <x v="7"/>
            <x v="9"/>
            <x v="10"/>
          </reference>
        </references>
      </pivotArea>
    </format>
    <format dxfId="2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9">
      <pivotArea type="all" dataOnly="0" outline="0" fieldPosition="0"/>
    </format>
    <format dxfId="288">
      <pivotArea field="4" type="button" dataOnly="0" labelOnly="1" outline="0"/>
    </format>
    <format dxfId="287">
      <pivotArea field="2" type="button" dataOnly="0" labelOnly="1" outline="0" axis="axisCol" fieldPosition="1"/>
    </format>
    <format dxfId="286">
      <pivotArea dataOnly="0" labelOnly="1" grandRow="1" outline="0" fieldPosition="0"/>
    </format>
    <format dxfId="285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84">
      <pivotArea field="4" type="button" dataOnly="0" labelOnly="1" outline="0"/>
    </format>
    <format dxfId="283">
      <pivotArea field="2" type="button" dataOnly="0" labelOnly="1" outline="0" axis="axisCol" fieldPosition="1"/>
    </format>
    <format dxfId="282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81">
      <pivotArea field="4" type="button" dataOnly="0" labelOnly="1" outline="0"/>
    </format>
    <format dxfId="280">
      <pivotArea field="2" type="button" dataOnly="0" labelOnly="1" outline="0" axis="axisCol" fieldPosition="1"/>
    </format>
    <format dxfId="279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78">
      <pivotArea type="all" dataOnly="0" outline="0" fieldPosition="0"/>
    </format>
    <format dxfId="277">
      <pivotArea field="4" type="button" dataOnly="0" labelOnly="1" outline="0"/>
    </format>
    <format dxfId="276">
      <pivotArea type="all" dataOnly="0" outline="0" fieldPosition="0"/>
    </format>
    <format dxfId="275">
      <pivotArea outline="0" collapsedLevelsAreSubtotals="1" fieldPosition="0"/>
    </format>
    <format dxfId="274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64">
      <pivotArea field="4" type="button" dataOnly="0" labelOnly="1" outline="0"/>
    </format>
    <format dxfId="263">
      <pivotArea type="all" dataOnly="0" outline="0" fieldPosition="0"/>
    </format>
    <format dxfId="262">
      <pivotArea field="4" type="button" dataOnly="0" labelOnly="1" outline="0"/>
    </format>
    <format dxfId="261">
      <pivotArea field="2" type="button" dataOnly="0" labelOnly="1" outline="0" axis="axisCol" fieldPosition="1"/>
    </format>
    <format dxfId="260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59">
      <pivotArea outline="0" fieldPosition="0">
        <references count="1">
          <reference field="4294967294" count="1" selected="0">
            <x v="9"/>
          </reference>
        </references>
      </pivotArea>
    </format>
    <format dxfId="258">
      <pivotArea dataOnly="0" labelOnly="1" outline="0" fieldPosition="0">
        <references count="1">
          <reference field="4294967294" count="5">
            <x v="0"/>
            <x v="6"/>
            <x v="7"/>
            <x v="9"/>
            <x v="10"/>
          </reference>
        </references>
      </pivotArea>
    </format>
    <format dxfId="257">
      <pivotArea outline="0" collapsedLevelsAreSubtotals="1" fieldPosition="0"/>
    </format>
    <format dxfId="256">
      <pivotArea dataOnly="0" labelOnly="1" outline="0" fieldPosition="0">
        <references count="1">
          <reference field="2" count="0"/>
        </references>
      </pivotArea>
    </format>
    <format dxfId="2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52">
      <pivotArea outline="0" fieldPosition="0">
        <references count="1">
          <reference field="4294967294" count="1">
            <x v="2"/>
          </reference>
        </references>
      </pivotArea>
    </format>
    <format dxfId="251">
      <pivotArea field="4" type="button" dataOnly="0" labelOnly="1" outline="0"/>
    </format>
    <format dxfId="250">
      <pivotArea field="2" type="button" dataOnly="0" labelOnly="1" outline="0" axis="axisCol" fieldPosition="1"/>
    </format>
    <format dxfId="249">
      <pivotArea dataOnly="0" labelOnly="1" outline="0" fieldPosition="0">
        <references count="1">
          <reference field="4294967294" count="8">
            <x v="0"/>
            <x v="1"/>
            <x v="2"/>
            <x v="3"/>
            <x v="6"/>
            <x v="7"/>
            <x v="9"/>
            <x v="10"/>
          </reference>
        </references>
      </pivotArea>
    </format>
    <format dxfId="248">
      <pivotArea outline="0" fieldPosition="0">
        <references count="1">
          <reference field="4294967294" count="1">
            <x v="1"/>
          </reference>
        </references>
      </pivotArea>
    </format>
    <format dxfId="247">
      <pivotArea outline="0" fieldPosition="0">
        <references count="1">
          <reference field="4294967294" count="1">
            <x v="4"/>
          </reference>
        </references>
      </pivotArea>
    </format>
    <format dxfId="246">
      <pivotArea grandRow="1" outline="0" collapsedLevelsAreSubtotals="1" fieldPosition="0"/>
    </format>
    <format dxfId="245">
      <pivotArea dataOnly="0" labelOnly="1" grandRow="1" outline="0" fieldPosition="0"/>
    </format>
    <format dxfId="244">
      <pivotArea type="all" dataOnly="0" outline="0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5" type="button" dataOnly="0" labelOnly="1" outline="0"/>
    </format>
    <format dxfId="240">
      <pivotArea field="9" type="button" dataOnly="0" labelOnly="1" outline="0" axis="axisRow" fieldPosition="0"/>
    </format>
    <format dxfId="239">
      <pivotArea field="8" type="button" dataOnly="0" labelOnly="1" outline="0" axis="axisRow" fieldPosition="1"/>
    </format>
    <format dxfId="238">
      <pivotArea dataOnly="0" labelOnly="1" grandRow="1" outline="0" fieldPosition="0"/>
    </format>
    <format dxfId="23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6"/>
            <x v="7"/>
            <x v="8"/>
            <x v="9"/>
            <x v="10"/>
          </reference>
        </references>
      </pivotArea>
    </format>
    <format dxfId="236">
      <pivotArea outline="0" fieldPosition="0">
        <references count="1">
          <reference field="4294967294" count="1">
            <x v="11"/>
          </reference>
        </references>
      </pivotArea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type="origin" dataOnly="0" labelOnly="1" outline="0" fieldPosition="0"/>
    </format>
    <format dxfId="232">
      <pivotArea field="-2" type="button" dataOnly="0" labelOnly="1" outline="0" axis="axisCol" fieldPosition="0"/>
    </format>
    <format dxfId="231">
      <pivotArea field="2" type="button" dataOnly="0" labelOnly="1" outline="0" axis="axisCol" fieldPosition="1"/>
    </format>
    <format dxfId="230">
      <pivotArea type="topRight" dataOnly="0" labelOnly="1" outline="0" fieldPosition="0"/>
    </format>
    <format dxfId="229">
      <pivotArea field="9" type="button" dataOnly="0" labelOnly="1" outline="0" axis="axisRow" fieldPosition="0"/>
    </format>
    <format dxfId="228">
      <pivotArea field="8" type="button" dataOnly="0" labelOnly="1" outline="0" axis="axisRow" fieldPosition="1"/>
    </format>
    <format dxfId="227">
      <pivotArea field="10" type="button" dataOnly="0" labelOnly="1" outline="0" axis="axisRow" fieldPosition="2"/>
    </format>
    <format dxfId="226">
      <pivotArea dataOnly="0" labelOnly="1" grandRow="1" outline="0" fieldPosition="0"/>
    </format>
    <format dxfId="22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4">
      <pivotArea field="2" dataOnly="0" labelOnly="1" grandCol="1" outline="0" axis="axisCol" fieldPosition="1">
        <references count="1">
          <reference field="4294967294" count="1" selected="0">
            <x v="6"/>
          </reference>
        </references>
      </pivotArea>
    </format>
    <format dxfId="223">
      <pivotArea field="2" dataOnly="0" labelOnly="1" grandCol="1" outline="0" axis="axisCol" fieldPosition="1">
        <references count="1">
          <reference field="4294967294" count="1" selected="0">
            <x v="7"/>
          </reference>
        </references>
      </pivotArea>
    </format>
    <format dxfId="222">
      <pivotArea field="2" dataOnly="0" labelOnly="1" grandCol="1" outline="0" axis="axisCol" fieldPosition="1">
        <references count="1">
          <reference field="4294967294" count="1" selected="0">
            <x v="8"/>
          </reference>
        </references>
      </pivotArea>
    </format>
    <format dxfId="221">
      <pivotArea field="2" dataOnly="0" labelOnly="1" grandCol="1" outline="0" axis="axisCol" fieldPosition="1">
        <references count="1">
          <reference field="4294967294" count="1" selected="0">
            <x v="9"/>
          </reference>
        </references>
      </pivotArea>
    </format>
    <format dxfId="220">
      <pivotArea field="2" dataOnly="0" labelOnly="1" grandCol="1" outline="0" axis="axisCol" fieldPosition="1">
        <references count="1">
          <reference field="4294967294" count="1" selected="0">
            <x v="10"/>
          </reference>
        </references>
      </pivotArea>
    </format>
    <format dxfId="219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18">
      <pivotArea field="2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17">
      <pivotArea field="2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216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15">
      <pivotArea field="2" dataOnly="0" labelOnly="1" grandCol="1" outline="0" axis="axisCol" fieldPosition="1">
        <references count="1">
          <reference field="4294967294" count="1" selected="0">
            <x v="4"/>
          </reference>
        </references>
      </pivotArea>
    </format>
    <format dxfId="214">
      <pivotArea field="2" dataOnly="0" labelOnly="1" grandCol="1" outline="0" axis="axisCol" fieldPosition="1">
        <references count="1">
          <reference field="4294967294" count="1" selected="0">
            <x v="5"/>
          </reference>
        </references>
      </pivotArea>
    </format>
    <format dxfId="213">
      <pivotArea field="2" dataOnly="0" labelOnly="1" grandCol="1" outline="0" axis="axisCol" fieldPosition="1">
        <references count="1">
          <reference field="4294967294" count="1" selected="0">
            <x v="11"/>
          </reference>
        </references>
      </pivotArea>
    </format>
    <format dxfId="212">
      <pivotArea dataOnly="0" labelOnly="1" outline="0" fieldPosition="0">
        <references count="2">
          <reference field="4294967294" count="1" selected="0">
            <x v="6"/>
          </reference>
          <reference field="2" count="0"/>
        </references>
      </pivotArea>
    </format>
    <format dxfId="211">
      <pivotArea dataOnly="0" labelOnly="1" outline="0" fieldPosition="0">
        <references count="2">
          <reference field="4294967294" count="1" selected="0">
            <x v="7"/>
          </reference>
          <reference field="2" count="0"/>
        </references>
      </pivotArea>
    </format>
    <format dxfId="210">
      <pivotArea dataOnly="0" labelOnly="1" outline="0" fieldPosition="0">
        <references count="2">
          <reference field="4294967294" count="1" selected="0">
            <x v="8"/>
          </reference>
          <reference field="2" count="0"/>
        </references>
      </pivotArea>
    </format>
    <format dxfId="209">
      <pivotArea dataOnly="0" labelOnly="1" outline="0" fieldPosition="0">
        <references count="2">
          <reference field="4294967294" count="1" selected="0">
            <x v="9"/>
          </reference>
          <reference field="2" count="0"/>
        </references>
      </pivotArea>
    </format>
    <format dxfId="208">
      <pivotArea dataOnly="0" labelOnly="1" outline="0" fieldPosition="0">
        <references count="2">
          <reference field="4294967294" count="1" selected="0">
            <x v="10"/>
          </reference>
          <reference field="2" count="0"/>
        </references>
      </pivotArea>
    </format>
    <format dxfId="207">
      <pivotArea dataOnly="0" labelOnly="1" outline="0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06">
      <pivotArea dataOnly="0" labelOnly="1" outline="0" fieldPosition="0">
        <references count="2">
          <reference field="4294967294" count="1" selected="0">
            <x v="2"/>
          </reference>
          <reference field="2" count="0"/>
        </references>
      </pivotArea>
    </format>
    <format dxfId="205">
      <pivotArea dataOnly="0" labelOnly="1" outline="0" fieldPosition="0">
        <references count="2">
          <reference field="4294967294" count="1" selected="0">
            <x v="3"/>
          </reference>
          <reference field="2" count="0"/>
        </references>
      </pivotArea>
    </format>
    <format dxfId="204">
      <pivotArea dataOnly="0" labelOnly="1" outline="0" fieldPosition="0">
        <references count="2">
          <reference field="4294967294" count="1" selected="0">
            <x v="1"/>
          </reference>
          <reference field="2" count="0"/>
        </references>
      </pivotArea>
    </format>
    <format dxfId="203">
      <pivotArea dataOnly="0" labelOnly="1" outline="0" fieldPosition="0">
        <references count="2">
          <reference field="4294967294" count="1" selected="0">
            <x v="4"/>
          </reference>
          <reference field="2" count="0"/>
        </references>
      </pivotArea>
    </format>
    <format dxfId="202">
      <pivotArea dataOnly="0" labelOnly="1" outline="0" fieldPosition="0">
        <references count="2">
          <reference field="4294967294" count="1" selected="0">
            <x v="5"/>
          </reference>
          <reference field="2" count="0"/>
        </references>
      </pivotArea>
    </format>
    <format dxfId="201">
      <pivotArea dataOnly="0" labelOnly="1" outline="0" fieldPosition="0">
        <references count="2">
          <reference field="4294967294" count="1" selected="0">
            <x v="11"/>
          </reference>
          <reference field="2" count="0"/>
        </references>
      </pivotArea>
    </format>
    <format dxfId="200">
      <pivotArea outline="0" fieldPosition="0">
        <references count="1">
          <reference field="4294967294" count="1">
            <x v="3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8A984-65C6-46D0-BD7D-84E560CC6E19}" name="피벗 테이블4" cacheId="1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multipleFieldFilters="0" chartFormat="5" rowHeaderCaption="주차">
  <location ref="B6:N13" firstHeaderRow="0" firstDataRow="1" firstDataCol="2" rowPageCount="1" colPageCount="1"/>
  <pivotFields count="25">
    <pivotField compact="0" outline="0" subtotalTop="0" showAll="0"/>
    <pivotField compact="0" outline="0" subtotalTop="0" showAll="0"/>
    <pivotField axis="axisRow" compact="0" outline="0" subtotalTop="0" multipleItemSelectionAllowed="1" showAll="0" sortType="ascending">
      <items count="5">
        <item h="1" x="0"/>
        <item h="1" x="1"/>
        <item x="2"/>
        <item x="3"/>
        <item t="default"/>
      </items>
    </pivotField>
    <pivotField compact="0" outline="0" subtotalTop="0" showAll="0" sortType="ascending">
      <items count="25">
        <item x="1"/>
        <item h="1" x="2"/>
        <item h="1" x="0"/>
        <item h="1" x="9"/>
        <item h="1" x="8"/>
        <item h="1" x="7"/>
        <item h="1" x="6"/>
        <item h="1" x="5"/>
        <item h="1" x="4"/>
        <item h="1" x="3"/>
        <item h="1" x="16"/>
        <item h="1" x="15"/>
        <item h="1" x="14"/>
        <item h="1" x="13"/>
        <item h="1" x="12"/>
        <item h="1" x="11"/>
        <item h="1" x="10"/>
        <item h="1" x="23"/>
        <item h="1" x="22"/>
        <item h="1" x="21"/>
        <item h="1" x="20"/>
        <item h="1" x="19"/>
        <item h="1" x="18"/>
        <item h="1" x="17"/>
        <item t="default"/>
      </items>
    </pivotField>
    <pivotField compact="0" outline="0" subtotalTop="0" showAll="0">
      <items count="2">
        <item x="0"/>
        <item t="default"/>
      </items>
    </pivotField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ubtotalTop="0" multipleItemSelectionAllowed="1" showAll="0">
      <items count="3">
        <item x="0"/>
        <item x="1"/>
        <item t="default"/>
      </items>
    </pivotField>
    <pivotField compact="0" outline="0" subtotalTop="0" showAll="0"/>
    <pivotField compact="0" outline="0" subtotalTop="0" showAll="0" sortType="descending">
      <items count="11">
        <item x="0"/>
        <item x="1"/>
        <item x="2"/>
        <item x="3"/>
        <item x="4"/>
        <item x="9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axis="axisPage" compact="0" outline="0" subtotalTop="0" multipleItemSelectionAllowed="1" showAll="0" sortType="descending">
      <items count="9">
        <item x="3"/>
        <item x="0"/>
        <item x="1"/>
        <item x="2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6"/>
    <field x="2"/>
  </rowFields>
  <rowItems count="7">
    <i>
      <x/>
      <x v="2"/>
    </i>
    <i r="1">
      <x v="3"/>
    </i>
    <i t="default">
      <x/>
    </i>
    <i>
      <x v="1"/>
      <x v="2"/>
    </i>
    <i r="1">
      <x v="3"/>
    </i>
    <i t="default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9" hier="-1"/>
  </pageFields>
  <dataFields count="11">
    <dataField name=" 노출수" fld="11" baseField="1" baseItem="0" numFmtId="41"/>
    <dataField name=" 클릭수" fld="12" baseField="1" baseItem="0" numFmtId="41"/>
    <dataField name="CPM" fld="22" baseField="0" baseItem="0" numFmtId="41"/>
    <dataField name=" CTR" fld="18" baseField="1" baseItem="0" numFmtId="10"/>
    <dataField name=" CPC" fld="17" baseField="1" baseItem="0" numFmtId="41"/>
    <dataField name=" 비용(vat미포함)" fld="19" baseField="1" baseItem="0" numFmtId="41"/>
    <dataField name="구매전환수 " fld="14" baseField="1" baseItem="80" numFmtId="177"/>
    <dataField name="구매전환매출 " fld="15" baseField="1" baseItem="80" numFmtId="177"/>
    <dataField name="CVR" fld="21" baseField="1" baseItem="80" numFmtId="183"/>
    <dataField name="ROAS" fld="20" baseField="1" baseItem="80" numFmtId="9"/>
    <dataField name="객단가" fld="23" baseField="0" baseItem="0" numFmtId="177"/>
  </dataFields>
  <formats count="83">
    <format dxfId="39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95">
      <pivotArea field="2" type="button" dataOnly="0" labelOnly="1" outline="0" axis="axisRow" fieldPosition="1"/>
    </format>
    <format dxfId="394">
      <pivotArea field="2" type="button" dataOnly="0" labelOnly="1" outline="0" axis="axisRow" fieldPosition="1"/>
    </format>
    <format dxfId="3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9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90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89">
      <pivotArea field="2" type="button" dataOnly="0" labelOnly="1" outline="0" axis="axisRow" fieldPosition="1"/>
    </format>
    <format dxfId="3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7">
      <pivotArea dataOnly="0" labelOnly="1" grandRow="1" outline="0" fieldPosition="0"/>
    </format>
    <format dxfId="386">
      <pivotArea collapsedLevelsAreSubtotals="1" fieldPosition="0">
        <references count="1">
          <reference field="2" count="0"/>
        </references>
      </pivotArea>
    </format>
    <format dxfId="385">
      <pivotArea dataOnly="0" labelOnly="1" fieldPosition="0">
        <references count="1">
          <reference field="2" count="0"/>
        </references>
      </pivotArea>
    </format>
    <format dxfId="384">
      <pivotArea outline="0" fieldPosition="0">
        <references count="1">
          <reference field="4294967294" count="1">
            <x v="0"/>
          </reference>
        </references>
      </pivotArea>
    </format>
    <format dxfId="383">
      <pivotArea outline="0" fieldPosition="0">
        <references count="1">
          <reference field="4294967294" count="1">
            <x v="1"/>
          </reference>
        </references>
      </pivotArea>
    </format>
    <format dxfId="382">
      <pivotArea type="all" dataOnly="0" outline="0" fieldPosition="0"/>
    </format>
    <format dxfId="381">
      <pivotArea field="2" type="button" dataOnly="0" labelOnly="1" outline="0" axis="axisRow" fieldPosition="1"/>
    </format>
    <format dxfId="380">
      <pivotArea dataOnly="0" labelOnly="1" fieldPosition="0">
        <references count="1">
          <reference field="2" count="0"/>
        </references>
      </pivotArea>
    </format>
    <format dxfId="379">
      <pivotArea dataOnly="0" labelOnly="1" grandRow="1" outline="0" fieldPosition="0"/>
    </format>
    <format dxfId="378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377">
      <pivotArea field="4" type="button" dataOnly="0" labelOnly="1" outline="0"/>
    </format>
    <format dxfId="376">
      <pivotArea field="4" type="button" dataOnly="0" labelOnly="1" outline="0"/>
    </format>
    <format dxfId="375">
      <pivotArea field="2" type="button" dataOnly="0" labelOnly="1" outline="0" axis="axisRow" fieldPosition="1"/>
    </format>
    <format dxfId="374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37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72">
      <pivotArea type="all" dataOnly="0" outline="0" fieldPosition="0"/>
    </format>
    <format dxfId="371">
      <pivotArea field="4" type="button" dataOnly="0" labelOnly="1" outline="0"/>
    </format>
    <format dxfId="370">
      <pivotArea field="2" type="button" dataOnly="0" labelOnly="1" outline="0" axis="axisRow" fieldPosition="1"/>
    </format>
    <format dxfId="369">
      <pivotArea dataOnly="0" labelOnly="1" grandRow="1" outline="0" fieldPosition="0"/>
    </format>
    <format dxfId="368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67">
      <pivotArea field="4" type="button" dataOnly="0" labelOnly="1" outline="0"/>
    </format>
    <format dxfId="366">
      <pivotArea field="2" type="button" dataOnly="0" labelOnly="1" outline="0" axis="axisRow" fieldPosition="1"/>
    </format>
    <format dxfId="365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64">
      <pivotArea field="4" type="button" dataOnly="0" labelOnly="1" outline="0"/>
    </format>
    <format dxfId="363">
      <pivotArea field="2" type="button" dataOnly="0" labelOnly="1" outline="0" axis="axisRow" fieldPosition="1"/>
    </format>
    <format dxfId="362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61">
      <pivotArea type="all" dataOnly="0" outline="0" fieldPosition="0"/>
    </format>
    <format dxfId="360">
      <pivotArea field="4" type="button" dataOnly="0" labelOnly="1" outline="0"/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50">
      <pivotArea type="all" dataOnly="0" outline="0" fieldPosition="0"/>
    </format>
    <format dxfId="349">
      <pivotArea outline="0" collapsedLevelsAreSubtotals="1" fieldPosition="0"/>
    </format>
    <format dxfId="348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47">
      <pivotArea field="4" type="button" dataOnly="0" labelOnly="1" outline="0"/>
    </format>
    <format dxfId="346">
      <pivotArea type="all" dataOnly="0" outline="0" fieldPosition="0"/>
    </format>
    <format dxfId="345">
      <pivotArea field="4" type="button" dataOnly="0" labelOnly="1" outline="0"/>
    </format>
    <format dxfId="344">
      <pivotArea field="2" type="button" dataOnly="0" labelOnly="1" outline="0" axis="axisRow" fieldPosition="1"/>
    </format>
    <format dxfId="343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42">
      <pivotArea outline="0" fieldPosition="0">
        <references count="1">
          <reference field="4294967294" count="1" selected="0">
            <x v="4"/>
          </reference>
        </references>
      </pivotArea>
    </format>
    <format dxfId="341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340">
      <pivotArea outline="0" collapsedLevelsAreSubtotals="1" fieldPosition="0"/>
    </format>
    <format dxfId="339">
      <pivotArea dataOnly="0" labelOnly="1" outline="0" fieldPosition="0">
        <references count="1">
          <reference field="2" count="0"/>
        </references>
      </pivotArea>
    </format>
    <format dxfId="33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3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3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35">
      <pivotArea outline="0" fieldPosition="0">
        <references count="1">
          <reference field="4294967294" count="1">
            <x v="7"/>
          </reference>
        </references>
      </pivotArea>
    </format>
    <format dxfId="334">
      <pivotArea outline="0" fieldPosition="0">
        <references count="1">
          <reference field="4294967294" count="1">
            <x v="6"/>
          </reference>
        </references>
      </pivotArea>
    </format>
    <format dxfId="333">
      <pivotArea field="4" type="button" dataOnly="0" labelOnly="1" outline="0"/>
    </format>
    <format dxfId="332">
      <pivotArea field="2" type="button" dataOnly="0" labelOnly="1" outline="0" axis="axisRow" fieldPosition="1"/>
    </format>
    <format dxfId="331">
      <pivotArea dataOnly="0" labelOnly="1" outline="0" fieldPosition="0">
        <references count="1">
          <reference field="4294967294" count="8">
            <x v="0"/>
            <x v="1"/>
            <x v="3"/>
            <x v="4"/>
            <x v="5"/>
            <x v="6"/>
            <x v="7"/>
            <x v="9"/>
          </reference>
        </references>
      </pivotArea>
    </format>
    <format dxfId="330">
      <pivotArea outline="0" fieldPosition="0">
        <references count="1">
          <reference field="4294967294" count="1">
            <x v="9"/>
          </reference>
        </references>
      </pivotArea>
    </format>
    <format dxfId="329">
      <pivotArea outline="0" fieldPosition="0">
        <references count="1">
          <reference field="4294967294" count="1">
            <x v="8"/>
          </reference>
        </references>
      </pivotArea>
    </format>
    <format dxfId="328">
      <pivotArea grandRow="1" outline="0" collapsedLevelsAreSubtotals="1" fieldPosition="0"/>
    </format>
    <format dxfId="327">
      <pivotArea dataOnly="0" labelOnly="1" grandRow="1" outline="0" fieldPosition="0"/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field="5" type="button" dataOnly="0" labelOnly="1" outline="0"/>
    </format>
    <format dxfId="323">
      <pivotArea field="9" type="button" dataOnly="0" labelOnly="1" outline="0" axis="axisPage" fieldPosition="0"/>
    </format>
    <format dxfId="322">
      <pivotArea field="8" type="button" dataOnly="0" labelOnly="1" outline="0"/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9">
            <x v="0"/>
            <x v="1"/>
            <x v="3"/>
            <x v="4"/>
            <x v="5"/>
            <x v="6"/>
            <x v="7"/>
            <x v="8"/>
            <x v="9"/>
          </reference>
        </references>
      </pivotArea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3" type="button" dataOnly="0" labelOnly="1" outline="0"/>
    </format>
    <format dxfId="316">
      <pivotArea dataOnly="0" labelOnly="1" grandRow="1" outline="0" fieldPosition="0"/>
    </format>
    <format dxfId="315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A86BE-8A10-4119-A3F3-8826C6492425}" name="피벗 테이블3" cacheId="1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multipleFieldFilters="0" chartFormat="5" rowHeaderCaption="주차">
  <location ref="B39:M64" firstHeaderRow="0" firstDataRow="1" firstDataCol="1" rowPageCount="3" colPageCount="1"/>
  <pivotFields count="25">
    <pivotField compact="0" outline="0" subtotalTop="0" showAll="0"/>
    <pivotField compact="0" outline="0" subtotalTop="0" showAll="0"/>
    <pivotField axis="axisPage" compact="0" outline="0" subtotalTop="0" multipleItemSelectionAllowed="1" showAll="0" sortType="ascending">
      <items count="5">
        <item x="0"/>
        <item x="1"/>
        <item x="2"/>
        <item x="3"/>
        <item t="default"/>
      </items>
    </pivotField>
    <pivotField axis="axisRow" compact="0" outline="0" subtotalTop="0" showAll="0" sortType="ascending">
      <items count="25">
        <item x="1"/>
        <item x="2"/>
        <item x="0"/>
        <item x="9"/>
        <item x="8"/>
        <item x="7"/>
        <item x="6"/>
        <item x="5"/>
        <item x="4"/>
        <item x="3"/>
        <item x="16"/>
        <item x="15"/>
        <item x="14"/>
        <item x="13"/>
        <item x="12"/>
        <item x="11"/>
        <item x="10"/>
        <item x="23"/>
        <item x="22"/>
        <item x="21"/>
        <item x="20"/>
        <item x="19"/>
        <item x="18"/>
        <item x="17"/>
        <item t="default"/>
      </items>
    </pivotField>
    <pivotField compact="0" outline="0" subtotalTop="0" showAll="0">
      <items count="2">
        <item x="0"/>
        <item t="default"/>
      </items>
    </pivotField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compact="0" outline="0" subtotalTop="0" multipleItemSelectionAllowed="1" showAll="0"/>
    <pivotField axis="axisPage" compact="0" outline="0" subtotalTop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ubtotalTop="0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ubtotalTop="0" multipleItemSelectionAllowed="1" showAll="0" sortType="descending">
      <items count="9">
        <item x="3"/>
        <item x="0"/>
        <item x="1"/>
        <item x="2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3">
    <pageField fld="2" hier="-1"/>
    <pageField fld="7" hier="-1"/>
    <pageField fld="9" hier="-1"/>
  </pageFields>
  <dataFields count="11">
    <dataField name="구매전환매출 " fld="15" baseField="1" baseItem="80" numFmtId="177"/>
    <dataField name="ROAS" fld="20" baseField="1" baseItem="80" numFmtId="9"/>
    <dataField name=" 비용(vat미포함)" fld="19" baseField="1" baseItem="0" numFmtId="41"/>
    <dataField name=" 노출수" fld="11" baseField="1" baseItem="0" numFmtId="41"/>
    <dataField name=" 클릭수" fld="12" baseField="1" baseItem="0" numFmtId="41"/>
    <dataField name=" CPC" fld="17" baseField="1" baseItem="0" numFmtId="41"/>
    <dataField name=" CTR" fld="18" baseField="1" baseItem="0" numFmtId="10"/>
    <dataField name="구매전환수 " fld="14" baseField="1" baseItem="80" numFmtId="177"/>
    <dataField name="CVR" fld="21" baseField="1" baseItem="80" numFmtId="183"/>
    <dataField name="객단가" fld="23" baseField="0" baseItem="0" numFmtId="177"/>
    <dataField name="CPM" fld="22" baseField="0" baseItem="0" numFmtId="41"/>
  </dataFields>
  <formats count="84">
    <format dxfId="481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79">
      <pivotArea field="2" type="button" dataOnly="0" labelOnly="1" outline="0" axis="axisPage" fieldPosition="0"/>
    </format>
    <format dxfId="478">
      <pivotArea field="2" type="button" dataOnly="0" labelOnly="1" outline="0" axis="axisPage" fieldPosition="0"/>
    </format>
    <format dxfId="47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476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74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473">
      <pivotArea field="2" type="button" dataOnly="0" labelOnly="1" outline="0" axis="axisPage" fieldPosition="0"/>
    </format>
    <format dxfId="47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471">
      <pivotArea dataOnly="0" labelOnly="1" grandRow="1" outline="0" fieldPosition="0"/>
    </format>
    <format dxfId="470">
      <pivotArea collapsedLevelsAreSubtotals="1" fieldPosition="0">
        <references count="1">
          <reference field="2" count="0"/>
        </references>
      </pivotArea>
    </format>
    <format dxfId="469">
      <pivotArea dataOnly="0" labelOnly="1" fieldPosition="0">
        <references count="1">
          <reference field="2" count="0"/>
        </references>
      </pivotArea>
    </format>
    <format dxfId="468">
      <pivotArea outline="0" fieldPosition="0">
        <references count="1">
          <reference field="4294967294" count="1">
            <x v="3"/>
          </reference>
        </references>
      </pivotArea>
    </format>
    <format dxfId="467">
      <pivotArea outline="0" fieldPosition="0">
        <references count="1">
          <reference field="4294967294" count="1">
            <x v="4"/>
          </reference>
        </references>
      </pivotArea>
    </format>
    <format dxfId="466">
      <pivotArea type="all" dataOnly="0" outline="0" fieldPosition="0"/>
    </format>
    <format dxfId="465">
      <pivotArea field="2" type="button" dataOnly="0" labelOnly="1" outline="0" axis="axisPage" fieldPosition="0"/>
    </format>
    <format dxfId="464">
      <pivotArea dataOnly="0" labelOnly="1" fieldPosition="0">
        <references count="1">
          <reference field="2" count="0"/>
        </references>
      </pivotArea>
    </format>
    <format dxfId="463">
      <pivotArea dataOnly="0" labelOnly="1" grandRow="1" outline="0" fieldPosition="0"/>
    </format>
    <format dxfId="462">
      <pivotArea dataOnly="0" labelOnly="1" outline="0" fieldPosition="0">
        <references count="1">
          <reference field="4294967294" count="4">
            <x v="3"/>
            <x v="4"/>
            <x v="5"/>
            <x v="6"/>
          </reference>
        </references>
      </pivotArea>
    </format>
    <format dxfId="461">
      <pivotArea field="4" type="button" dataOnly="0" labelOnly="1" outline="0"/>
    </format>
    <format dxfId="460">
      <pivotArea field="4" type="button" dataOnly="0" labelOnly="1" outline="0"/>
    </format>
    <format dxfId="459">
      <pivotArea field="2" type="button" dataOnly="0" labelOnly="1" outline="0" axis="axisPage" fieldPosition="0"/>
    </format>
    <format dxfId="458">
      <pivotArea dataOnly="0" labelOnly="1" outline="0" fieldPosition="0">
        <references count="1">
          <reference field="4294967294" count="4">
            <x v="3"/>
            <x v="4"/>
            <x v="5"/>
            <x v="6"/>
          </reference>
        </references>
      </pivotArea>
    </format>
    <format dxfId="4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56">
      <pivotArea type="all" dataOnly="0" outline="0" fieldPosition="0"/>
    </format>
    <format dxfId="455">
      <pivotArea field="4" type="button" dataOnly="0" labelOnly="1" outline="0"/>
    </format>
    <format dxfId="454">
      <pivotArea field="2" type="button" dataOnly="0" labelOnly="1" outline="0" axis="axisPage" fieldPosition="0"/>
    </format>
    <format dxfId="453">
      <pivotArea dataOnly="0" labelOnly="1" grandRow="1" outline="0" fieldPosition="0"/>
    </format>
    <format dxfId="45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51">
      <pivotArea field="4" type="button" dataOnly="0" labelOnly="1" outline="0"/>
    </format>
    <format dxfId="450">
      <pivotArea field="2" type="button" dataOnly="0" labelOnly="1" outline="0" axis="axisPage" fieldPosition="0"/>
    </format>
    <format dxfId="449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48">
      <pivotArea field="4" type="button" dataOnly="0" labelOnly="1" outline="0"/>
    </format>
    <format dxfId="447">
      <pivotArea field="2" type="button" dataOnly="0" labelOnly="1" outline="0" axis="axisPage" fieldPosition="0"/>
    </format>
    <format dxfId="446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45">
      <pivotArea type="all" dataOnly="0" outline="0" fieldPosition="0"/>
    </format>
    <format dxfId="444">
      <pivotArea field="4" type="button" dataOnly="0" labelOnly="1" outline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37">
      <pivotArea type="all" dataOnly="0" outline="0" fieldPosition="0"/>
    </format>
    <format dxfId="436">
      <pivotArea outline="0" collapsedLevelsAreSubtotals="1" fieldPosition="0"/>
    </format>
    <format dxfId="435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31">
      <pivotArea field="4" type="button" dataOnly="0" labelOnly="1" outline="0"/>
    </format>
    <format dxfId="430">
      <pivotArea type="all" dataOnly="0" outline="0" fieldPosition="0"/>
    </format>
    <format dxfId="429">
      <pivotArea field="4" type="button" dataOnly="0" labelOnly="1" outline="0"/>
    </format>
    <format dxfId="428">
      <pivotArea field="2" type="button" dataOnly="0" labelOnly="1" outline="0" axis="axisPage" fieldPosition="0"/>
    </format>
    <format dxfId="427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26">
      <pivotArea outline="0" fieldPosition="0">
        <references count="1">
          <reference field="4294967294" count="1" selected="0">
            <x v="5"/>
          </reference>
        </references>
      </pivotArea>
    </format>
    <format dxfId="425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24">
      <pivotArea outline="0" collapsedLevelsAreSubtotals="1" fieldPosition="0"/>
    </format>
    <format dxfId="423">
      <pivotArea dataOnly="0" labelOnly="1" outline="0" fieldPosition="0">
        <references count="1">
          <reference field="2" count="0"/>
        </references>
      </pivotArea>
    </format>
    <format dxfId="42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2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9">
      <pivotArea outline="0" fieldPosition="0">
        <references count="1">
          <reference field="4294967294" count="1">
            <x v="0"/>
          </reference>
        </references>
      </pivotArea>
    </format>
    <format dxfId="418">
      <pivotArea outline="0" fieldPosition="0">
        <references count="1">
          <reference field="4294967294" count="1">
            <x v="7"/>
          </reference>
        </references>
      </pivotArea>
    </format>
    <format dxfId="417">
      <pivotArea field="4" type="button" dataOnly="0" labelOnly="1" outline="0"/>
    </format>
    <format dxfId="416">
      <pivotArea field="2" type="button" dataOnly="0" labelOnly="1" outline="0" axis="axisPage" fieldPosition="0"/>
    </format>
    <format dxfId="41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14">
      <pivotArea outline="0" fieldPosition="0">
        <references count="1">
          <reference field="4294967294" count="1">
            <x v="1"/>
          </reference>
        </references>
      </pivotArea>
    </format>
    <format dxfId="413">
      <pivotArea outline="0" fieldPosition="0">
        <references count="1">
          <reference field="4294967294" count="1">
            <x v="8"/>
          </reference>
        </references>
      </pivotArea>
    </format>
    <format dxfId="412">
      <pivotArea grandRow="1" outline="0" collapsedLevelsAreSubtotals="1" fieldPosition="0"/>
    </format>
    <format dxfId="411">
      <pivotArea dataOnly="0" labelOnly="1" grandRow="1" outline="0" fieldPosition="0"/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field="5" type="button" dataOnly="0" labelOnly="1" outline="0"/>
    </format>
    <format dxfId="407">
      <pivotArea field="9" type="button" dataOnly="0" labelOnly="1" outline="0" axis="axisPage" fieldPosition="2"/>
    </format>
    <format dxfId="406">
      <pivotArea field="8" type="button" dataOnly="0" labelOnly="1" outline="0"/>
    </format>
    <format dxfId="405">
      <pivotArea dataOnly="0" labelOnly="1" grandRow="1" outline="0" fieldPosition="0"/>
    </format>
    <format dxfId="40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03">
      <pivotArea type="all" dataOnly="0" outline="0" fieldPosition="0"/>
    </format>
    <format dxfId="402">
      <pivotArea outline="0" collapsedLevelsAreSubtotals="1" fieldPosition="0"/>
    </format>
    <format dxfId="401">
      <pivotArea field="3" type="button" dataOnly="0" labelOnly="1" outline="0" axis="axisRow" fieldPosition="0"/>
    </format>
    <format dxfId="400">
      <pivotArea dataOnly="0" labelOnly="1" outline="0" fieldPosition="0">
        <references count="1">
          <reference field="3" count="0"/>
        </references>
      </pivotArea>
    </format>
    <format dxfId="399">
      <pivotArea dataOnly="0" labelOnly="1" grandRow="1" outline="0" fieldPosition="0"/>
    </format>
    <format dxfId="398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BDBA6-9EC5-488C-9B8F-54932E3BD418}" name="피벗 테이블2" cacheId="0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multipleFieldFilters="0" chartFormat="5" rowHeaderCaption="주차">
  <location ref="B123:Z127" firstHeaderRow="1" firstDataRow="3" firstDataCol="1"/>
  <pivotFields count="25">
    <pivotField compact="0" outline="0" subtotalTop="0" showAll="0" defaultSubtotal="0"/>
    <pivotField compact="0" outline="0" subtotalTop="0" showAll="0" defaultSubtotal="0"/>
    <pivotField axis="axisCol" compact="0" outline="0" subtotalTop="0" multipleItemSelectionAllowed="1" showAll="0" sortType="ascending" defaultSubtotal="0">
      <items count="5">
        <item h="1" x="0"/>
        <item h="1" x="1"/>
        <item h="1" x="2"/>
        <item h="1" x="3"/>
        <item x="4"/>
      </items>
    </pivotField>
    <pivotField compact="0" outline="0" subtotalTop="0" showAll="0" defaultSubtotal="0"/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7">
        <item x="6"/>
        <item x="0"/>
        <item x="1"/>
        <item x="2"/>
        <item x="3"/>
        <item x="4"/>
        <item x="5"/>
      </items>
    </pivotField>
    <pivotField compact="0" outline="0" subtotalTop="0" multipleItemSelectionAllowed="1" showAll="0" defaultSubtotal="0"/>
    <pivotField compact="0" outline="0" subtotalTop="0" showAll="0" defaultSubtotal="0"/>
    <pivotField compact="0" outline="0" subtotalTop="0" showAll="0" sortType="descending" defaultSubtotal="0">
      <items count="11">
        <item x="10"/>
        <item x="0"/>
        <item x="1"/>
        <item x="2"/>
        <item x="3"/>
        <item x="4"/>
        <item x="9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compact="0" outline="0" subtotalTop="0" showAll="0" sortType="descending" defaultSubtotal="0">
      <items count="9">
        <item x="8"/>
        <item x="3"/>
        <item x="0"/>
        <item x="1"/>
        <item x="2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outline="0" subtotalTop="0" showAll="0" defaultSubtotal="0">
      <items count="1">
        <item x="0"/>
      </items>
    </pivotField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1">
    <field x="16"/>
  </rowFields>
  <rowItems count="2">
    <i>
      <x/>
    </i>
    <i t="grand">
      <x/>
    </i>
  </rowItems>
  <colFields count="2">
    <field x="-2"/>
    <field x="2"/>
  </colFields>
  <colItems count="24">
    <i>
      <x/>
      <x v="4"/>
    </i>
    <i i="1">
      <x v="1"/>
      <x v="4"/>
    </i>
    <i i="2">
      <x v="2"/>
      <x v="4"/>
    </i>
    <i i="3">
      <x v="3"/>
      <x v="4"/>
    </i>
    <i i="4">
      <x v="4"/>
      <x v="4"/>
    </i>
    <i i="5">
      <x v="5"/>
      <x v="4"/>
    </i>
    <i i="6">
      <x v="6"/>
      <x v="4"/>
    </i>
    <i i="7">
      <x v="7"/>
      <x v="4"/>
    </i>
    <i i="8">
      <x v="8"/>
      <x v="4"/>
    </i>
    <i i="9">
      <x v="9"/>
      <x v="4"/>
    </i>
    <i i="10">
      <x v="10"/>
      <x v="4"/>
    </i>
    <i i="11">
      <x v="11"/>
      <x v="4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</colItems>
  <dataFields count="12">
    <dataField name=" 비용(vat미포함)" fld="19" showDataAs="percentOfTotal" baseField="16" baseItem="0" numFmtId="9"/>
    <dataField name=" 노출수" fld="11" baseField="1" baseItem="0" numFmtId="41"/>
    <dataField name=" 클릭수" fld="12" baseField="1" baseItem="0" numFmtId="41"/>
    <dataField name="CPM" fld="22" baseField="0" baseItem="0" numFmtId="41"/>
    <dataField name=" CPC" fld="17" baseField="1" baseItem="0" numFmtId="41"/>
    <dataField name=" CTR" fld="18" baseField="1" baseItem="0" numFmtId="10"/>
    <dataField name="구매전환수 " fld="14" baseField="1" baseItem="80" numFmtId="177"/>
    <dataField name="구매전환매출 " fld="15" baseField="1" baseItem="80" numFmtId="177"/>
    <dataField name="ROAS" fld="20" baseField="1" baseItem="80" numFmtId="9"/>
    <dataField name="CVR" fld="21" baseField="1" baseItem="80" numFmtId="183"/>
    <dataField name="객단가" fld="23" baseField="0" baseItem="0" numFmtId="177"/>
    <dataField name="CPA" fld="24" baseField="7" baseItem="4" numFmtId="177"/>
  </dataFields>
  <formats count="106">
    <format dxfId="58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8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85">
      <pivotArea field="2" type="button" dataOnly="0" labelOnly="1" outline="0" axis="axisCol" fieldPosition="1"/>
    </format>
    <format dxfId="584">
      <pivotArea field="2" type="button" dataOnly="0" labelOnly="1" outline="0" axis="axisCol" fieldPosition="1"/>
    </format>
    <format dxfId="58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82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8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80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79">
      <pivotArea field="2" type="button" dataOnly="0" labelOnly="1" outline="0" axis="axisCol" fieldPosition="1"/>
    </format>
    <format dxfId="57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77">
      <pivotArea dataOnly="0" labelOnly="1" grandRow="1" outline="0" fieldPosition="0"/>
    </format>
    <format dxfId="576">
      <pivotArea collapsedLevelsAreSubtotals="1" fieldPosition="0">
        <references count="1">
          <reference field="2" count="0"/>
        </references>
      </pivotArea>
    </format>
    <format dxfId="575">
      <pivotArea dataOnly="0" labelOnly="1" fieldPosition="0">
        <references count="1">
          <reference field="2" count="0"/>
        </references>
      </pivotArea>
    </format>
    <format dxfId="574">
      <pivotArea outline="0" fieldPosition="0">
        <references count="1">
          <reference field="4294967294" count="1">
            <x v="1"/>
          </reference>
        </references>
      </pivotArea>
    </format>
    <format dxfId="573">
      <pivotArea outline="0" fieldPosition="0">
        <references count="1">
          <reference field="4294967294" count="1">
            <x v="2"/>
          </reference>
        </references>
      </pivotArea>
    </format>
    <format dxfId="572">
      <pivotArea type="all" dataOnly="0" outline="0" fieldPosition="0"/>
    </format>
    <format dxfId="571">
      <pivotArea field="2" type="button" dataOnly="0" labelOnly="1" outline="0" axis="axisCol" fieldPosition="1"/>
    </format>
    <format dxfId="570">
      <pivotArea dataOnly="0" labelOnly="1" fieldPosition="0">
        <references count="1">
          <reference field="2" count="0"/>
        </references>
      </pivotArea>
    </format>
    <format dxfId="569">
      <pivotArea dataOnly="0" labelOnly="1" grandRow="1" outline="0" fieldPosition="0"/>
    </format>
    <format dxfId="568">
      <pivotArea dataOnly="0" labelOnly="1" outline="0" fieldPosition="0">
        <references count="1">
          <reference field="4294967294" count="4">
            <x v="1"/>
            <x v="2"/>
            <x v="4"/>
            <x v="5"/>
          </reference>
        </references>
      </pivotArea>
    </format>
    <format dxfId="567">
      <pivotArea field="4" type="button" dataOnly="0" labelOnly="1" outline="0"/>
    </format>
    <format dxfId="566">
      <pivotArea field="4" type="button" dataOnly="0" labelOnly="1" outline="0"/>
    </format>
    <format dxfId="565">
      <pivotArea field="2" type="button" dataOnly="0" labelOnly="1" outline="0" axis="axisCol" fieldPosition="1"/>
    </format>
    <format dxfId="564">
      <pivotArea dataOnly="0" labelOnly="1" outline="0" fieldPosition="0">
        <references count="1">
          <reference field="4294967294" count="4">
            <x v="1"/>
            <x v="2"/>
            <x v="4"/>
            <x v="5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2">
      <pivotArea type="all" dataOnly="0" outline="0" fieldPosition="0"/>
    </format>
    <format dxfId="561">
      <pivotArea field="4" type="button" dataOnly="0" labelOnly="1" outline="0"/>
    </format>
    <format dxfId="560">
      <pivotArea field="2" type="button" dataOnly="0" labelOnly="1" outline="0" axis="axisCol" fieldPosition="1"/>
    </format>
    <format dxfId="559">
      <pivotArea dataOnly="0" labelOnly="1" grandRow="1" outline="0" fieldPosition="0"/>
    </format>
    <format dxfId="558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57">
      <pivotArea field="4" type="button" dataOnly="0" labelOnly="1" outline="0"/>
    </format>
    <format dxfId="556">
      <pivotArea field="2" type="button" dataOnly="0" labelOnly="1" outline="0" axis="axisCol" fieldPosition="1"/>
    </format>
    <format dxfId="555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54">
      <pivotArea field="4" type="button" dataOnly="0" labelOnly="1" outline="0"/>
    </format>
    <format dxfId="553">
      <pivotArea field="2" type="button" dataOnly="0" labelOnly="1" outline="0" axis="axisCol" fieldPosition="1"/>
    </format>
    <format dxfId="552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51">
      <pivotArea type="all" dataOnly="0" outline="0" fieldPosition="0"/>
    </format>
    <format dxfId="550">
      <pivotArea field="4" type="button" dataOnly="0" labelOnly="1" outline="0"/>
    </format>
    <format dxfId="549">
      <pivotArea type="all" dataOnly="0" outline="0" fieldPosition="0"/>
    </format>
    <format dxfId="548">
      <pivotArea outline="0" collapsedLevelsAreSubtotals="1" fieldPosition="0"/>
    </format>
    <format dxfId="547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46">
      <pivotArea type="all" dataOnly="0" outline="0" fieldPosition="0"/>
    </format>
    <format dxfId="545">
      <pivotArea outline="0" collapsedLevelsAreSubtotals="1" fieldPosition="0"/>
    </format>
    <format dxfId="544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43">
      <pivotArea type="all" dataOnly="0" outline="0" fieldPosition="0"/>
    </format>
    <format dxfId="542">
      <pivotArea outline="0" collapsedLevelsAreSubtotals="1" fieldPosition="0"/>
    </format>
    <format dxfId="541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37">
      <pivotArea field="4" type="button" dataOnly="0" labelOnly="1" outline="0"/>
    </format>
    <format dxfId="536">
      <pivotArea type="all" dataOnly="0" outline="0" fieldPosition="0"/>
    </format>
    <format dxfId="535">
      <pivotArea field="4" type="button" dataOnly="0" labelOnly="1" outline="0"/>
    </format>
    <format dxfId="534">
      <pivotArea field="2" type="button" dataOnly="0" labelOnly="1" outline="0" axis="axisCol" fieldPosition="1"/>
    </format>
    <format dxfId="533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32">
      <pivotArea outline="0" fieldPosition="0">
        <references count="1">
          <reference field="4294967294" count="1" selected="0">
            <x v="4"/>
          </reference>
        </references>
      </pivotArea>
    </format>
    <format dxfId="531">
      <pivotArea dataOnly="0" labelOnly="1" outline="0" fieldPosition="0">
        <references count="1">
          <reference field="4294967294" count="5">
            <x v="0"/>
            <x v="1"/>
            <x v="2"/>
            <x v="4"/>
            <x v="5"/>
          </reference>
        </references>
      </pivotArea>
    </format>
    <format dxfId="530">
      <pivotArea outline="0" collapsedLevelsAreSubtotals="1" fieldPosition="0"/>
    </format>
    <format dxfId="529">
      <pivotArea dataOnly="0" labelOnly="1" outline="0" fieldPosition="0">
        <references count="1">
          <reference field="2" count="0"/>
        </references>
      </pivotArea>
    </format>
    <format dxfId="52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2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25">
      <pivotArea outline="0" fieldPosition="0">
        <references count="1">
          <reference field="4294967294" count="1">
            <x v="7"/>
          </reference>
        </references>
      </pivotArea>
    </format>
    <format dxfId="524">
      <pivotArea outline="0" fieldPosition="0">
        <references count="1">
          <reference field="4294967294" count="1">
            <x v="6"/>
          </reference>
        </references>
      </pivotArea>
    </format>
    <format dxfId="523">
      <pivotArea field="4" type="button" dataOnly="0" labelOnly="1" outline="0"/>
    </format>
    <format dxfId="522">
      <pivotArea field="2" type="button" dataOnly="0" labelOnly="1" outline="0" axis="axisCol" fieldPosition="1"/>
    </format>
    <format dxfId="521">
      <pivotArea dataOnly="0" labelOnly="1" outline="0" fieldPosition="0">
        <references count="1">
          <reference field="4294967294" count="8">
            <x v="0"/>
            <x v="1"/>
            <x v="2"/>
            <x v="4"/>
            <x v="5"/>
            <x v="6"/>
            <x v="7"/>
            <x v="8"/>
          </reference>
        </references>
      </pivotArea>
    </format>
    <format dxfId="520">
      <pivotArea outline="0" fieldPosition="0">
        <references count="1">
          <reference field="4294967294" count="1">
            <x v="8"/>
          </reference>
        </references>
      </pivotArea>
    </format>
    <format dxfId="519">
      <pivotArea outline="0" fieldPosition="0">
        <references count="1">
          <reference field="4294967294" count="1">
            <x v="9"/>
          </reference>
        </references>
      </pivotArea>
    </format>
    <format dxfId="518">
      <pivotArea grandRow="1" outline="0" collapsedLevelsAreSubtotals="1" fieldPosition="0"/>
    </format>
    <format dxfId="517">
      <pivotArea dataOnly="0" labelOnly="1" grandRow="1" outline="0" fieldPosition="0"/>
    </format>
    <format dxfId="516">
      <pivotArea type="all" dataOnly="0" outline="0" fieldPosition="0"/>
    </format>
    <format dxfId="515">
      <pivotArea field="5" type="button" dataOnly="0" labelOnly="1" outline="0"/>
    </format>
    <format dxfId="514">
      <pivotArea field="9" type="button" dataOnly="0" labelOnly="1" outline="0"/>
    </format>
    <format dxfId="513">
      <pivotArea field="8" type="button" dataOnly="0" labelOnly="1" outline="0"/>
    </format>
    <format dxfId="512">
      <pivotArea type="all" dataOnly="0" outline="0" fieldPosition="0"/>
    </format>
    <format dxfId="511">
      <pivotArea outline="0" collapsedLevelsAreSubtotals="1" fieldPosition="0"/>
    </format>
    <format dxfId="510">
      <pivotArea field="5" type="button" dataOnly="0" labelOnly="1" outline="0"/>
    </format>
    <format dxfId="509">
      <pivotArea field="9" type="button" dataOnly="0" labelOnly="1" outline="0"/>
    </format>
    <format dxfId="508">
      <pivotArea field="8" type="button" dataOnly="0" labelOnly="1" outline="0"/>
    </format>
    <format dxfId="507">
      <pivotArea dataOnly="0" labelOnly="1" grandRow="1" outline="0" fieldPosition="0"/>
    </format>
    <format dxfId="50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05">
      <pivotArea outline="0" fieldPosition="0">
        <references count="1">
          <reference field="4294967294" count="1">
            <x v="11"/>
          </reference>
        </references>
      </pivotArea>
    </format>
    <format dxfId="504">
      <pivotArea type="all" dataOnly="0" outline="0" fieldPosition="0"/>
    </format>
    <format dxfId="503">
      <pivotArea outline="0" collapsedLevelsAreSubtotals="1" fieldPosition="0"/>
    </format>
    <format dxfId="502">
      <pivotArea type="origin" dataOnly="0" labelOnly="1" outline="0" fieldPosition="0"/>
    </format>
    <format dxfId="501">
      <pivotArea field="-2" type="button" dataOnly="0" labelOnly="1" outline="0" axis="axisCol" fieldPosition="0"/>
    </format>
    <format dxfId="500">
      <pivotArea field="2" type="button" dataOnly="0" labelOnly="1" outline="0" axis="axisCol" fieldPosition="1"/>
    </format>
    <format dxfId="499">
      <pivotArea type="topRight" dataOnly="0" labelOnly="1" outline="0" fieldPosition="0"/>
    </format>
    <format dxfId="498">
      <pivotArea field="16" type="button" dataOnly="0" labelOnly="1" outline="0" axis="axisRow" fieldPosition="0"/>
    </format>
    <format dxfId="497">
      <pivotArea dataOnly="0" labelOnly="1" outline="0" fieldPosition="0">
        <references count="1">
          <reference field="16" count="0"/>
        </references>
      </pivotArea>
    </format>
    <format dxfId="496">
      <pivotArea dataOnly="0" labelOnly="1" grandRow="1" outline="0" fieldPosition="0"/>
    </format>
    <format dxfId="49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94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93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92">
      <pivotArea field="2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491">
      <pivotArea field="2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490">
      <pivotArea field="2" dataOnly="0" labelOnly="1" grandCol="1" outline="0" axis="axisCol" fieldPosition="1">
        <references count="1">
          <reference field="4294967294" count="1" selected="0">
            <x v="4"/>
          </reference>
        </references>
      </pivotArea>
    </format>
    <format dxfId="489">
      <pivotArea field="2" dataOnly="0" labelOnly="1" grandCol="1" outline="0" axis="axisCol" fieldPosition="1">
        <references count="1">
          <reference field="4294967294" count="1" selected="0">
            <x v="5"/>
          </reference>
        </references>
      </pivotArea>
    </format>
    <format dxfId="488">
      <pivotArea field="2" dataOnly="0" labelOnly="1" grandCol="1" outline="0" axis="axisCol" fieldPosition="1">
        <references count="1">
          <reference field="4294967294" count="1" selected="0">
            <x v="6"/>
          </reference>
        </references>
      </pivotArea>
    </format>
    <format dxfId="487">
      <pivotArea field="2" dataOnly="0" labelOnly="1" grandCol="1" outline="0" axis="axisCol" fieldPosition="1">
        <references count="1">
          <reference field="4294967294" count="1" selected="0">
            <x v="7"/>
          </reference>
        </references>
      </pivotArea>
    </format>
    <format dxfId="486">
      <pivotArea field="2" dataOnly="0" labelOnly="1" grandCol="1" outline="0" axis="axisCol" fieldPosition="1">
        <references count="1">
          <reference field="4294967294" count="1" selected="0">
            <x v="8"/>
          </reference>
        </references>
      </pivotArea>
    </format>
    <format dxfId="485">
      <pivotArea field="2" dataOnly="0" labelOnly="1" grandCol="1" outline="0" axis="axisCol" fieldPosition="1">
        <references count="1">
          <reference field="4294967294" count="1" selected="0">
            <x v="9"/>
          </reference>
        </references>
      </pivotArea>
    </format>
    <format dxfId="484">
      <pivotArea field="2" dataOnly="0" labelOnly="1" grandCol="1" outline="0" axis="axisCol" fieldPosition="1">
        <references count="1">
          <reference field="4294967294" count="1" selected="0">
            <x v="10"/>
          </reference>
        </references>
      </pivotArea>
    </format>
    <format dxfId="483">
      <pivotArea field="2" dataOnly="0" labelOnly="1" grandCol="1" outline="0" axis="axisCol" fieldPosition="1">
        <references count="1">
          <reference field="4294967294" count="1" selected="0">
            <x v="11"/>
          </reference>
        </references>
      </pivotArea>
    </format>
    <format dxfId="482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2131-01B0-4886-9B94-DD7FBFDEECF0}">
  <sheetPr>
    <tabColor theme="0"/>
  </sheetPr>
  <dimension ref="B1:CV236"/>
  <sheetViews>
    <sheetView showGridLines="0" workbookViewId="0">
      <selection activeCell="H12" sqref="H12"/>
    </sheetView>
  </sheetViews>
  <sheetFormatPr defaultColWidth="8.69921875" defaultRowHeight="15.6" x14ac:dyDescent="0.4"/>
  <cols>
    <col min="1" max="1" width="3.69921875" style="16" customWidth="1"/>
    <col min="2" max="2" width="15.5" style="16" bestFit="1" customWidth="1"/>
    <col min="3" max="3" width="17.8984375" style="16" bestFit="1" customWidth="1"/>
    <col min="4" max="4" width="15.3984375" style="16" customWidth="1"/>
    <col min="5" max="6" width="14.59765625" style="16" bestFit="1" customWidth="1"/>
    <col min="7" max="7" width="10.8984375" style="16" bestFit="1" customWidth="1"/>
    <col min="8" max="8" width="11.59765625" style="16" customWidth="1"/>
    <col min="9" max="10" width="14.59765625" style="16" bestFit="1" customWidth="1"/>
    <col min="11" max="12" width="12.3984375" style="16" bestFit="1" customWidth="1"/>
    <col min="13" max="13" width="11.3984375" style="16" bestFit="1" customWidth="1"/>
    <col min="14" max="16" width="10.8984375" style="16" bestFit="1" customWidth="1"/>
    <col min="17" max="18" width="11.19921875" style="16" bestFit="1" customWidth="1"/>
    <col min="19" max="19" width="12.3984375" style="16" bestFit="1" customWidth="1"/>
    <col min="20" max="21" width="10.8984375" style="16" bestFit="1" customWidth="1"/>
    <col min="22" max="22" width="11" style="16" customWidth="1"/>
    <col min="23" max="23" width="14.8984375" style="16" bestFit="1" customWidth="1"/>
    <col min="24" max="24" width="16.69921875" style="16" bestFit="1" customWidth="1"/>
    <col min="25" max="26" width="11" style="16" bestFit="1" customWidth="1"/>
    <col min="27" max="38" width="10.8984375" style="16" bestFit="1" customWidth="1"/>
    <col min="39" max="39" width="18.8984375" style="16" bestFit="1" customWidth="1"/>
    <col min="40" max="41" width="11.19921875" style="16" bestFit="1" customWidth="1"/>
    <col min="42" max="44" width="10.8984375" style="16" bestFit="1" customWidth="1"/>
    <col min="45" max="45" width="14.8984375" style="16" bestFit="1" customWidth="1"/>
    <col min="46" max="46" width="16.69921875" style="16" bestFit="1" customWidth="1"/>
    <col min="47" max="88" width="10.8984375" style="16" bestFit="1" customWidth="1"/>
    <col min="89" max="89" width="18.8984375" style="16" bestFit="1" customWidth="1"/>
    <col min="90" max="90" width="10" style="16" bestFit="1" customWidth="1"/>
    <col min="91" max="91" width="16.69921875" style="16" bestFit="1" customWidth="1"/>
    <col min="92" max="92" width="8.69921875" style="16" bestFit="1" customWidth="1"/>
    <col min="93" max="94" width="11.19921875" style="16" bestFit="1" customWidth="1"/>
    <col min="95" max="95" width="9.09765625" style="16" bestFit="1" customWidth="1"/>
    <col min="96" max="97" width="9.19921875" style="16" bestFit="1" customWidth="1"/>
    <col min="98" max="98" width="14.8984375" style="16" bestFit="1" customWidth="1"/>
    <col min="99" max="99" width="10.5" style="16" bestFit="1" customWidth="1"/>
    <col min="100" max="100" width="8.69921875" style="16" bestFit="1" customWidth="1"/>
    <col min="101" max="16384" width="8.69921875" style="16"/>
  </cols>
  <sheetData>
    <row r="1" spans="2:14" x14ac:dyDescent="0.4">
      <c r="H1" s="23"/>
    </row>
    <row r="2" spans="2:14" x14ac:dyDescent="0.4">
      <c r="B2" s="31" t="s">
        <v>56</v>
      </c>
      <c r="H2" s="23"/>
    </row>
    <row r="3" spans="2:14" ht="17.399999999999999" x14ac:dyDescent="0.4">
      <c r="B3"/>
      <c r="C3"/>
    </row>
    <row r="4" spans="2:14" x14ac:dyDescent="0.4">
      <c r="B4" s="28" t="s">
        <v>35</v>
      </c>
      <c r="C4" s="21" t="s">
        <v>41</v>
      </c>
      <c r="E4" s="17"/>
      <c r="H4" s="52"/>
      <c r="I4" s="18"/>
      <c r="J4" s="43">
        <f>IFERROR(J8/J7-1,0)</f>
        <v>1.625</v>
      </c>
      <c r="K4" s="43">
        <f>IFERROR(K8/K7-1,0)</f>
        <v>1.4127069039345588</v>
      </c>
    </row>
    <row r="5" spans="2:14" x14ac:dyDescent="0.4">
      <c r="B5" s="45"/>
      <c r="H5" s="61">
        <f>GETPIVOTDATA(" CPC",$B$6,"주차","10월4주차","광고유형","ADVoost 쇼핑")-GETPIVOTDATA(" CPC",$B$6,"주차","10월3주차","광고유형","ADVoost 쇼핑")</f>
        <v>97.998363274684834</v>
      </c>
      <c r="M5" s="19"/>
    </row>
    <row r="6" spans="2:14" x14ac:dyDescent="0.4">
      <c r="B6" s="28" t="s">
        <v>23</v>
      </c>
      <c r="C6" s="56" t="s">
        <v>11</v>
      </c>
      <c r="D6" s="53" t="s">
        <v>12</v>
      </c>
      <c r="E6" s="56" t="s">
        <v>13</v>
      </c>
      <c r="F6" s="21" t="s">
        <v>25</v>
      </c>
      <c r="G6" s="55" t="s">
        <v>10</v>
      </c>
      <c r="H6" s="56" t="s">
        <v>9</v>
      </c>
      <c r="I6" s="56" t="s">
        <v>14</v>
      </c>
      <c r="J6" s="54" t="s">
        <v>19</v>
      </c>
      <c r="K6" s="54" t="s">
        <v>20</v>
      </c>
      <c r="L6" s="21" t="s">
        <v>22</v>
      </c>
      <c r="M6" s="21" t="s">
        <v>21</v>
      </c>
      <c r="N6" s="21" t="s">
        <v>36</v>
      </c>
    </row>
    <row r="7" spans="2:14" x14ac:dyDescent="0.4">
      <c r="B7" s="21" t="s">
        <v>59</v>
      </c>
      <c r="C7" s="15" t="s">
        <v>99</v>
      </c>
      <c r="D7" s="23">
        <v>1054011</v>
      </c>
      <c r="E7" s="23">
        <v>3625</v>
      </c>
      <c r="F7" s="23">
        <v>3021.7331697676773</v>
      </c>
      <c r="G7" s="24">
        <v>3.4392430439530515E-3</v>
      </c>
      <c r="H7" s="23">
        <v>966.46455172413789</v>
      </c>
      <c r="I7" s="23">
        <v>3184939.9999999995</v>
      </c>
      <c r="J7" s="25">
        <v>32</v>
      </c>
      <c r="K7" s="25">
        <v>65015680</v>
      </c>
      <c r="L7" s="27">
        <v>8.8275862068965521E-3</v>
      </c>
      <c r="M7" s="26">
        <v>20.413470897410942</v>
      </c>
      <c r="N7" s="25">
        <v>2031740</v>
      </c>
    </row>
    <row r="8" spans="2:14" x14ac:dyDescent="0.4">
      <c r="B8" s="21"/>
      <c r="C8" s="15" t="s">
        <v>101</v>
      </c>
      <c r="D8" s="23">
        <v>1235379</v>
      </c>
      <c r="E8" s="23">
        <v>4247</v>
      </c>
      <c r="F8" s="23">
        <v>3326.7479416879719</v>
      </c>
      <c r="G8" s="24">
        <v>3.4378113922933773E-3</v>
      </c>
      <c r="H8" s="23">
        <v>1064.4629149988227</v>
      </c>
      <c r="I8" s="23">
        <v>4109794.5454545449</v>
      </c>
      <c r="J8" s="25">
        <v>84</v>
      </c>
      <c r="K8" s="25">
        <v>156863780</v>
      </c>
      <c r="L8" s="27">
        <v>1.9778667294560865E-2</v>
      </c>
      <c r="M8" s="26">
        <v>38.168277821452705</v>
      </c>
      <c r="N8" s="25">
        <v>1867425.9523809524</v>
      </c>
    </row>
    <row r="9" spans="2:14" x14ac:dyDescent="0.4">
      <c r="B9" s="21" t="s">
        <v>61</v>
      </c>
      <c r="C9" s="21"/>
      <c r="D9" s="23">
        <v>2289390</v>
      </c>
      <c r="E9" s="23">
        <v>7872</v>
      </c>
      <c r="F9" s="23">
        <v>3186.3223589928079</v>
      </c>
      <c r="G9" s="24">
        <v>3.4384705096117307E-3</v>
      </c>
      <c r="H9" s="23">
        <v>1019.3353658536586</v>
      </c>
      <c r="I9" s="23">
        <v>7294734.5454545449</v>
      </c>
      <c r="J9" s="25">
        <v>116</v>
      </c>
      <c r="K9" s="25">
        <v>221879460</v>
      </c>
      <c r="L9" s="27">
        <v>1.4735772357723578E-2</v>
      </c>
      <c r="M9" s="26">
        <v>30.416385766670057</v>
      </c>
      <c r="N9" s="25">
        <v>1912753.9655172413</v>
      </c>
    </row>
    <row r="10" spans="2:14" x14ac:dyDescent="0.4">
      <c r="B10" s="21" t="s">
        <v>60</v>
      </c>
      <c r="C10" s="15" t="s">
        <v>99</v>
      </c>
      <c r="D10" s="23">
        <v>188658</v>
      </c>
      <c r="E10" s="23">
        <v>2274</v>
      </c>
      <c r="F10" s="23">
        <v>9830.9543290938182</v>
      </c>
      <c r="G10" s="24">
        <v>1.205355723054416E-2</v>
      </c>
      <c r="H10" s="23">
        <v>897.16666666666663</v>
      </c>
      <c r="I10" s="23">
        <v>1854688.1818181816</v>
      </c>
      <c r="J10" s="25">
        <v>7</v>
      </c>
      <c r="K10" s="25">
        <v>9066600</v>
      </c>
      <c r="L10" s="27">
        <v>3.0782761653474055E-3</v>
      </c>
      <c r="M10" s="26">
        <v>4.8884767201739869</v>
      </c>
      <c r="N10" s="25">
        <v>1295228.5714285714</v>
      </c>
    </row>
    <row r="11" spans="2:14" x14ac:dyDescent="0.4">
      <c r="B11" s="21"/>
      <c r="C11" s="15" t="s">
        <v>101</v>
      </c>
      <c r="D11" s="23">
        <v>242200</v>
      </c>
      <c r="E11" s="23">
        <v>2348</v>
      </c>
      <c r="F11" s="23">
        <v>8653.0703400645598</v>
      </c>
      <c r="G11" s="24">
        <v>9.6944673823286549E-3</v>
      </c>
      <c r="H11" s="23">
        <v>981.83603066439525</v>
      </c>
      <c r="I11" s="23">
        <v>2095773.6363636362</v>
      </c>
      <c r="J11" s="25">
        <v>7</v>
      </c>
      <c r="K11" s="25">
        <v>11882640</v>
      </c>
      <c r="L11" s="27">
        <v>2.981260647359455E-3</v>
      </c>
      <c r="M11" s="26">
        <v>5.6698108010450472</v>
      </c>
      <c r="N11" s="25">
        <v>1697520</v>
      </c>
    </row>
    <row r="12" spans="2:14" x14ac:dyDescent="0.4">
      <c r="B12" s="21" t="s">
        <v>62</v>
      </c>
      <c r="C12" s="21"/>
      <c r="D12" s="23">
        <v>430858</v>
      </c>
      <c r="E12" s="23">
        <v>4622</v>
      </c>
      <c r="F12" s="23">
        <v>9168.8255020953948</v>
      </c>
      <c r="G12" s="24">
        <v>1.0727432239856286E-2</v>
      </c>
      <c r="H12" s="23">
        <v>940.17914322803983</v>
      </c>
      <c r="I12" s="23">
        <v>3950461.8181818179</v>
      </c>
      <c r="J12" s="25">
        <v>14</v>
      </c>
      <c r="K12" s="25">
        <v>20949240</v>
      </c>
      <c r="L12" s="27">
        <v>3.0289917784508871E-3</v>
      </c>
      <c r="M12" s="26">
        <v>5.3029850595143309</v>
      </c>
      <c r="N12" s="25">
        <v>1496374.2857142857</v>
      </c>
    </row>
    <row r="13" spans="2:14" x14ac:dyDescent="0.4">
      <c r="B13" s="29" t="s">
        <v>15</v>
      </c>
      <c r="C13" s="21"/>
      <c r="D13" s="23">
        <v>2720248</v>
      </c>
      <c r="E13" s="23">
        <v>12494</v>
      </c>
      <c r="F13" s="23">
        <v>4133.8864558071045</v>
      </c>
      <c r="G13" s="24">
        <v>4.5929635827321623E-3</v>
      </c>
      <c r="H13" s="23">
        <v>990.05250520249717</v>
      </c>
      <c r="I13" s="23">
        <v>11245196.363636363</v>
      </c>
      <c r="J13" s="25">
        <v>130</v>
      </c>
      <c r="K13" s="25">
        <v>242828700</v>
      </c>
      <c r="L13" s="27">
        <v>1.0404994397310709E-2</v>
      </c>
      <c r="M13" s="26">
        <v>21.593993750543667</v>
      </c>
      <c r="N13" s="25">
        <v>1867913.076923077</v>
      </c>
    </row>
    <row r="14" spans="2:14" ht="17.399999999999999" x14ac:dyDescent="0.4"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2:14" ht="17.399999999999999" x14ac:dyDescent="0.4">
      <c r="B15"/>
      <c r="C15"/>
      <c r="D15" s="57" t="s">
        <v>12</v>
      </c>
      <c r="E15" s="58" t="s">
        <v>13</v>
      </c>
      <c r="F15" s="59" t="s">
        <v>25</v>
      </c>
      <c r="G15" s="60" t="s">
        <v>10</v>
      </c>
      <c r="H15" s="58" t="s">
        <v>9</v>
      </c>
      <c r="I15" s="58" t="s">
        <v>14</v>
      </c>
      <c r="J15" s="58" t="s">
        <v>19</v>
      </c>
      <c r="K15" s="58" t="s">
        <v>20</v>
      </c>
      <c r="L15" s="59" t="s">
        <v>22</v>
      </c>
      <c r="M15" s="59" t="s">
        <v>21</v>
      </c>
      <c r="N15" s="59" t="s">
        <v>36</v>
      </c>
    </row>
    <row r="16" spans="2:14" hidden="1" x14ac:dyDescent="0.4">
      <c r="B16" s="46"/>
      <c r="C16" s="17"/>
      <c r="D16" s="47"/>
      <c r="E16" s="47"/>
      <c r="F16" s="47"/>
      <c r="G16" s="48"/>
      <c r="H16" s="47"/>
      <c r="I16" s="47"/>
      <c r="J16" s="49"/>
      <c r="K16" s="49"/>
      <c r="L16" s="50"/>
      <c r="M16" s="51"/>
      <c r="N16" s="49"/>
    </row>
    <row r="17" spans="2:14" hidden="1" x14ac:dyDescent="0.4">
      <c r="B17" s="46"/>
      <c r="C17" s="17"/>
      <c r="D17" s="47"/>
      <c r="E17" s="47"/>
      <c r="F17" s="47"/>
      <c r="G17" s="48"/>
      <c r="H17" s="47"/>
      <c r="I17" s="47"/>
      <c r="J17" s="49"/>
      <c r="K17" s="49"/>
      <c r="L17" s="50"/>
      <c r="M17" s="51"/>
      <c r="N17" s="49"/>
    </row>
    <row r="18" spans="2:14" hidden="1" x14ac:dyDescent="0.4">
      <c r="B18" s="46"/>
      <c r="C18" s="17"/>
      <c r="D18" s="47"/>
      <c r="E18" s="47"/>
      <c r="F18" s="47"/>
      <c r="G18" s="48"/>
      <c r="H18" s="47"/>
      <c r="I18" s="47"/>
      <c r="J18" s="49"/>
      <c r="K18" s="49"/>
      <c r="L18" s="50"/>
      <c r="M18" s="51"/>
      <c r="N18" s="49"/>
    </row>
    <row r="19" spans="2:14" hidden="1" x14ac:dyDescent="0.4">
      <c r="B19" s="46"/>
      <c r="C19" s="17"/>
      <c r="D19" s="47"/>
      <c r="E19" s="47"/>
      <c r="F19" s="47"/>
      <c r="G19" s="48"/>
      <c r="H19" s="47"/>
      <c r="I19" s="47"/>
      <c r="J19" s="49"/>
      <c r="K19" s="49"/>
      <c r="L19" s="50"/>
      <c r="M19" s="51"/>
      <c r="N19" s="49"/>
    </row>
    <row r="20" spans="2:14" hidden="1" x14ac:dyDescent="0.4">
      <c r="B20" s="46"/>
      <c r="C20" s="17"/>
      <c r="D20" s="47"/>
      <c r="E20" s="47"/>
      <c r="F20" s="47"/>
      <c r="G20" s="48"/>
      <c r="H20" s="47"/>
      <c r="I20" s="47"/>
      <c r="J20" s="49"/>
      <c r="K20" s="49"/>
      <c r="L20" s="50"/>
      <c r="M20" s="51"/>
      <c r="N20" s="49"/>
    </row>
    <row r="21" spans="2:14" hidden="1" x14ac:dyDescent="0.4">
      <c r="B21" s="46"/>
      <c r="C21" s="17"/>
      <c r="D21" s="47"/>
      <c r="E21" s="47"/>
      <c r="F21" s="47"/>
      <c r="G21" s="48"/>
      <c r="H21" s="47"/>
      <c r="I21" s="47"/>
      <c r="J21" s="49"/>
      <c r="K21" s="49"/>
      <c r="L21" s="50"/>
      <c r="M21" s="51"/>
      <c r="N21" s="49"/>
    </row>
    <row r="22" spans="2:14" hidden="1" x14ac:dyDescent="0.4">
      <c r="B22" s="46"/>
      <c r="C22" s="17"/>
      <c r="D22" s="47"/>
      <c r="E22" s="47"/>
      <c r="F22" s="47"/>
      <c r="G22" s="48"/>
      <c r="H22" s="47"/>
      <c r="I22" s="47"/>
      <c r="J22" s="49"/>
      <c r="K22" s="49"/>
      <c r="L22" s="50"/>
      <c r="M22" s="51"/>
      <c r="N22" s="49"/>
    </row>
    <row r="23" spans="2:14" hidden="1" x14ac:dyDescent="0.4">
      <c r="B23" s="46"/>
      <c r="C23" s="17"/>
      <c r="D23" s="47"/>
      <c r="E23" s="47"/>
      <c r="F23" s="47"/>
      <c r="G23" s="48"/>
      <c r="H23" s="47"/>
      <c r="I23" s="47"/>
      <c r="J23" s="49"/>
      <c r="K23" s="49"/>
      <c r="L23" s="50"/>
      <c r="M23" s="51"/>
      <c r="N23" s="49"/>
    </row>
    <row r="24" spans="2:14" hidden="1" x14ac:dyDescent="0.4">
      <c r="B24" s="46"/>
      <c r="C24" s="17"/>
      <c r="D24" s="47"/>
      <c r="E24" s="47"/>
      <c r="F24" s="47"/>
      <c r="G24" s="48"/>
      <c r="H24" s="47"/>
      <c r="I24" s="47"/>
      <c r="J24" s="49"/>
      <c r="K24" s="49"/>
      <c r="L24" s="50"/>
      <c r="M24" s="51"/>
      <c r="N24" s="49"/>
    </row>
    <row r="25" spans="2:14" hidden="1" x14ac:dyDescent="0.4">
      <c r="B25" s="46"/>
      <c r="C25" s="17"/>
      <c r="D25" s="47"/>
      <c r="E25" s="47"/>
      <c r="F25" s="47"/>
      <c r="G25" s="48"/>
      <c r="H25" s="47"/>
      <c r="I25" s="47"/>
      <c r="J25" s="49"/>
      <c r="K25" s="49"/>
      <c r="L25" s="50"/>
      <c r="M25" s="51"/>
      <c r="N25" s="49"/>
    </row>
    <row r="26" spans="2:14" ht="17.399999999999999" hidden="1" x14ac:dyDescent="0.4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7.399999999999999" hidden="1" x14ac:dyDescent="0.4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idden="1" x14ac:dyDescent="0.4">
      <c r="B28" s="31"/>
    </row>
    <row r="29" spans="2:14" x14ac:dyDescent="0.4">
      <c r="B29" s="31"/>
      <c r="C29" s="16" t="s">
        <v>59</v>
      </c>
      <c r="D29" s="44">
        <f t="shared" ref="D29:N29" si="0">IFERROR(D8/D7-1,0)</f>
        <v>0.17207410548846269</v>
      </c>
      <c r="E29" s="44">
        <f t="shared" si="0"/>
        <v>0.17158620689655169</v>
      </c>
      <c r="F29" s="44">
        <f t="shared" si="0"/>
        <v>0.10094033946211911</v>
      </c>
      <c r="G29" s="44">
        <f t="shared" si="0"/>
        <v>-4.1626940619721164E-4</v>
      </c>
      <c r="H29" s="44">
        <f t="shared" si="0"/>
        <v>0.10139881809411344</v>
      </c>
      <c r="I29" s="44">
        <f t="shared" si="0"/>
        <v>0.29038366357122758</v>
      </c>
      <c r="J29" s="44">
        <f t="shared" si="0"/>
        <v>1.625</v>
      </c>
      <c r="K29" s="44">
        <f t="shared" si="0"/>
        <v>1.4127069039345588</v>
      </c>
      <c r="L29" s="44">
        <f t="shared" si="0"/>
        <v>1.2405521544619731</v>
      </c>
      <c r="M29" s="44">
        <f t="shared" si="0"/>
        <v>0.86975933751146739</v>
      </c>
      <c r="N29" s="44">
        <f t="shared" si="0"/>
        <v>-8.087356040588245E-2</v>
      </c>
    </row>
    <row r="30" spans="2:14" x14ac:dyDescent="0.4">
      <c r="B30" s="31"/>
      <c r="C30" s="16" t="s">
        <v>60</v>
      </c>
      <c r="D30" s="44">
        <f t="shared" ref="D30:N30" si="1">IFERROR(D11/D10-1,0)</f>
        <v>0.2838045563930498</v>
      </c>
      <c r="E30" s="44">
        <f t="shared" si="1"/>
        <v>3.2541776605101047E-2</v>
      </c>
      <c r="F30" s="44">
        <f t="shared" si="1"/>
        <v>-0.11981379931177361</v>
      </c>
      <c r="G30" s="44">
        <f t="shared" si="1"/>
        <v>-0.19571731424126682</v>
      </c>
      <c r="H30" s="44">
        <f t="shared" si="1"/>
        <v>9.4374174992823967E-2</v>
      </c>
      <c r="I30" s="44">
        <f t="shared" si="1"/>
        <v>0.12998705491783236</v>
      </c>
      <c r="J30" s="44">
        <f t="shared" si="1"/>
        <v>0</v>
      </c>
      <c r="K30" s="44">
        <f t="shared" si="1"/>
        <v>0.31059493084507972</v>
      </c>
      <c r="L30" s="44">
        <f t="shared" si="1"/>
        <v>-3.1516183986371349E-2</v>
      </c>
      <c r="M30" s="44">
        <f t="shared" si="1"/>
        <v>0.15983180970190891</v>
      </c>
      <c r="N30" s="44">
        <f t="shared" si="1"/>
        <v>0.31059493084507972</v>
      </c>
    </row>
    <row r="31" spans="2:14" x14ac:dyDescent="0.4">
      <c r="B31" s="31"/>
      <c r="H31" s="52">
        <f>H10-H11</f>
        <v>-84.669363997728624</v>
      </c>
    </row>
    <row r="32" spans="2:14" x14ac:dyDescent="0.4">
      <c r="B32" s="31"/>
    </row>
    <row r="33" spans="2:13" x14ac:dyDescent="0.4">
      <c r="B33" s="31"/>
    </row>
    <row r="34" spans="2:13" x14ac:dyDescent="0.4">
      <c r="B34" s="31"/>
    </row>
    <row r="35" spans="2:13" x14ac:dyDescent="0.4">
      <c r="B35" s="53" t="s">
        <v>11</v>
      </c>
      <c r="C35" s="15" t="s">
        <v>41</v>
      </c>
    </row>
    <row r="36" spans="2:13" x14ac:dyDescent="0.4">
      <c r="B36" s="20" t="s">
        <v>63</v>
      </c>
      <c r="C36" s="21" t="s">
        <v>41</v>
      </c>
    </row>
    <row r="37" spans="2:13" x14ac:dyDescent="0.4">
      <c r="B37" s="28" t="s">
        <v>35</v>
      </c>
      <c r="C37" s="21" t="s">
        <v>41</v>
      </c>
      <c r="E37" s="17"/>
      <c r="I37" s="18"/>
    </row>
    <row r="38" spans="2:13" x14ac:dyDescent="0.4">
      <c r="B38" s="42"/>
      <c r="M38" s="19"/>
    </row>
    <row r="39" spans="2:13" x14ac:dyDescent="0.4">
      <c r="B39" s="20" t="s">
        <v>2</v>
      </c>
      <c r="C39" s="45" t="s">
        <v>20</v>
      </c>
      <c r="D39" s="21" t="s">
        <v>21</v>
      </c>
      <c r="E39" s="56" t="s">
        <v>14</v>
      </c>
      <c r="F39" s="56" t="s">
        <v>12</v>
      </c>
      <c r="G39" s="56" t="s">
        <v>13</v>
      </c>
      <c r="H39" s="56" t="s">
        <v>9</v>
      </c>
      <c r="I39" s="55" t="s">
        <v>10</v>
      </c>
      <c r="J39" s="54" t="s">
        <v>19</v>
      </c>
      <c r="K39" s="21" t="s">
        <v>22</v>
      </c>
      <c r="L39" s="21" t="s">
        <v>36</v>
      </c>
      <c r="M39" s="21" t="s">
        <v>25</v>
      </c>
    </row>
    <row r="40" spans="2:13" x14ac:dyDescent="0.4">
      <c r="B40" s="22">
        <v>46297</v>
      </c>
      <c r="C40" s="25">
        <v>0</v>
      </c>
      <c r="D40" s="26">
        <v>0</v>
      </c>
      <c r="E40" s="23">
        <v>239527.27272727271</v>
      </c>
      <c r="F40" s="23">
        <v>53378</v>
      </c>
      <c r="G40" s="23">
        <v>189</v>
      </c>
      <c r="H40" s="23">
        <v>1394.0740740740741</v>
      </c>
      <c r="I40" s="24">
        <v>3.5407845929034433E-3</v>
      </c>
      <c r="J40" s="25">
        <v>0</v>
      </c>
      <c r="K40" s="27">
        <v>0</v>
      </c>
      <c r="L40" s="25" t="e">
        <v>#DIV/0!</v>
      </c>
      <c r="M40" s="23">
        <v>4487.3781844069226</v>
      </c>
    </row>
    <row r="41" spans="2:13" x14ac:dyDescent="0.4">
      <c r="B41" s="22">
        <v>46298</v>
      </c>
      <c r="C41" s="25">
        <v>3728900</v>
      </c>
      <c r="D41" s="26">
        <v>14.535612656765503</v>
      </c>
      <c r="E41" s="23">
        <v>256535.45454545453</v>
      </c>
      <c r="F41" s="23">
        <v>75286</v>
      </c>
      <c r="G41" s="23">
        <v>224</v>
      </c>
      <c r="H41" s="23">
        <v>1259.7723214285713</v>
      </c>
      <c r="I41" s="24">
        <v>2.9753207767712455E-3</v>
      </c>
      <c r="J41" s="25">
        <v>1</v>
      </c>
      <c r="K41" s="27">
        <v>4.464285714285714E-3</v>
      </c>
      <c r="L41" s="25">
        <v>3728900</v>
      </c>
      <c r="M41" s="23">
        <v>3407.4788744979746</v>
      </c>
    </row>
    <row r="42" spans="2:13" x14ac:dyDescent="0.4">
      <c r="B42" s="22">
        <v>46299</v>
      </c>
      <c r="C42" s="25">
        <v>4875100</v>
      </c>
      <c r="D42" s="26">
        <v>14.005432298671961</v>
      </c>
      <c r="E42" s="23">
        <v>348086.36363636359</v>
      </c>
      <c r="F42" s="23">
        <v>79086</v>
      </c>
      <c r="G42" s="23">
        <v>376</v>
      </c>
      <c r="H42" s="23">
        <v>1018.3377659574468</v>
      </c>
      <c r="I42" s="24">
        <v>4.7543180841109678E-3</v>
      </c>
      <c r="J42" s="25">
        <v>4</v>
      </c>
      <c r="K42" s="27">
        <v>1.0638297872340425E-2</v>
      </c>
      <c r="L42" s="25">
        <v>1218775</v>
      </c>
      <c r="M42" s="23">
        <v>4401.3651422042285</v>
      </c>
    </row>
    <row r="43" spans="2:13" x14ac:dyDescent="0.4">
      <c r="B43" s="22">
        <v>46300</v>
      </c>
      <c r="C43" s="25">
        <v>8377200</v>
      </c>
      <c r="D43" s="26">
        <v>22.29887282635525</v>
      </c>
      <c r="E43" s="23">
        <v>375678.18181818177</v>
      </c>
      <c r="F43" s="23">
        <v>124870</v>
      </c>
      <c r="G43" s="23">
        <v>430</v>
      </c>
      <c r="H43" s="23">
        <v>961.03720930232555</v>
      </c>
      <c r="I43" s="24">
        <v>3.4435813245775608E-3</v>
      </c>
      <c r="J43" s="25">
        <v>5</v>
      </c>
      <c r="K43" s="27">
        <v>1.1627906976744186E-2</v>
      </c>
      <c r="L43" s="25">
        <v>1675440</v>
      </c>
      <c r="M43" s="23">
        <v>3008.5543510705675</v>
      </c>
    </row>
    <row r="44" spans="2:13" x14ac:dyDescent="0.4">
      <c r="B44" s="22">
        <v>46301</v>
      </c>
      <c r="C44" s="25">
        <v>7648250</v>
      </c>
      <c r="D44" s="26">
        <v>19.634330483000692</v>
      </c>
      <c r="E44" s="23">
        <v>389534.54545454541</v>
      </c>
      <c r="F44" s="23">
        <v>128704</v>
      </c>
      <c r="G44" s="23">
        <v>443</v>
      </c>
      <c r="H44" s="23">
        <v>967.24153498871328</v>
      </c>
      <c r="I44" s="24">
        <v>3.4420064644455494E-3</v>
      </c>
      <c r="J44" s="25">
        <v>3</v>
      </c>
      <c r="K44" s="27">
        <v>6.7720090293453723E-3</v>
      </c>
      <c r="L44" s="25">
        <v>2549416.6666666665</v>
      </c>
      <c r="M44" s="23">
        <v>3026.5923782830791</v>
      </c>
    </row>
    <row r="45" spans="2:13" x14ac:dyDescent="0.4">
      <c r="B45" s="22">
        <v>46302</v>
      </c>
      <c r="C45" s="25">
        <v>3821400</v>
      </c>
      <c r="D45" s="26">
        <v>8.5329408779497591</v>
      </c>
      <c r="E45" s="23">
        <v>447840.90909090906</v>
      </c>
      <c r="F45" s="23">
        <v>113339</v>
      </c>
      <c r="G45" s="23">
        <v>495</v>
      </c>
      <c r="H45" s="23">
        <v>995.20202020202021</v>
      </c>
      <c r="I45" s="24">
        <v>4.3674286873891599E-3</v>
      </c>
      <c r="J45" s="25">
        <v>3</v>
      </c>
      <c r="K45" s="27">
        <v>6.0606060606060606E-3</v>
      </c>
      <c r="L45" s="25">
        <v>1273800</v>
      </c>
      <c r="M45" s="23">
        <v>3951.3398661617721</v>
      </c>
    </row>
    <row r="46" spans="2:13" x14ac:dyDescent="0.4">
      <c r="B46" s="22">
        <v>46303</v>
      </c>
      <c r="C46" s="25">
        <v>5132680</v>
      </c>
      <c r="D46" s="26">
        <v>9.4581182091392471</v>
      </c>
      <c r="E46" s="23">
        <v>542674.54545454541</v>
      </c>
      <c r="F46" s="23">
        <v>103038</v>
      </c>
      <c r="G46" s="23">
        <v>525</v>
      </c>
      <c r="H46" s="23">
        <v>1137.0323809523809</v>
      </c>
      <c r="I46" s="24">
        <v>5.0952075933150881E-3</v>
      </c>
      <c r="J46" s="25">
        <v>2</v>
      </c>
      <c r="K46" s="27">
        <v>3.8095238095238095E-3</v>
      </c>
      <c r="L46" s="25">
        <v>2566340</v>
      </c>
      <c r="M46" s="23">
        <v>5266.7418375215493</v>
      </c>
    </row>
    <row r="47" spans="2:13" x14ac:dyDescent="0.4">
      <c r="B47" s="22">
        <v>46304</v>
      </c>
      <c r="C47" s="25">
        <v>0</v>
      </c>
      <c r="D47" s="26">
        <v>0</v>
      </c>
      <c r="E47" s="23">
        <v>585158.18181818177</v>
      </c>
      <c r="F47" s="23">
        <v>152960</v>
      </c>
      <c r="G47" s="23">
        <v>569</v>
      </c>
      <c r="H47" s="23">
        <v>1131.2372583479789</v>
      </c>
      <c r="I47" s="24">
        <v>3.7199267782426779E-3</v>
      </c>
      <c r="J47" s="25">
        <v>0</v>
      </c>
      <c r="K47" s="27">
        <v>0</v>
      </c>
      <c r="L47" s="25" t="e">
        <v>#DIV/0!</v>
      </c>
      <c r="M47" s="23">
        <v>3825.563427158615</v>
      </c>
    </row>
    <row r="48" spans="2:13" x14ac:dyDescent="0.4">
      <c r="B48" s="22">
        <v>46305</v>
      </c>
      <c r="C48" s="25">
        <v>10881580</v>
      </c>
      <c r="D48" s="26">
        <v>18.874860248863463</v>
      </c>
      <c r="E48" s="23">
        <v>576511.81818181812</v>
      </c>
      <c r="F48" s="23">
        <v>173935</v>
      </c>
      <c r="G48" s="23">
        <v>676</v>
      </c>
      <c r="H48" s="23">
        <v>938.11094674556216</v>
      </c>
      <c r="I48" s="24">
        <v>3.886509328197315E-3</v>
      </c>
      <c r="J48" s="25">
        <v>8</v>
      </c>
      <c r="K48" s="27">
        <v>1.1834319526627219E-2</v>
      </c>
      <c r="L48" s="25">
        <v>1360197.5</v>
      </c>
      <c r="M48" s="23">
        <v>3314.5244958278563</v>
      </c>
    </row>
    <row r="49" spans="2:13" x14ac:dyDescent="0.4">
      <c r="B49" s="22">
        <v>46306</v>
      </c>
      <c r="C49" s="25">
        <v>9618650</v>
      </c>
      <c r="D49" s="26">
        <v>16.242007954819329</v>
      </c>
      <c r="E49" s="23">
        <v>592208.18181818177</v>
      </c>
      <c r="F49" s="23">
        <v>152376</v>
      </c>
      <c r="G49" s="23">
        <v>703</v>
      </c>
      <c r="H49" s="23">
        <v>926.64153627311521</v>
      </c>
      <c r="I49" s="24">
        <v>4.6135874415918513E-3</v>
      </c>
      <c r="J49" s="25">
        <v>5</v>
      </c>
      <c r="K49" s="27">
        <v>7.1123755334281651E-3</v>
      </c>
      <c r="L49" s="25">
        <v>1923730</v>
      </c>
      <c r="M49" s="23">
        <v>3886.4925041882043</v>
      </c>
    </row>
    <row r="50" spans="2:13" x14ac:dyDescent="0.4">
      <c r="B50" s="22">
        <v>46307</v>
      </c>
      <c r="C50" s="25">
        <v>14709600</v>
      </c>
      <c r="D50" s="26">
        <v>23.467364378411933</v>
      </c>
      <c r="E50" s="23">
        <v>626810.90909090906</v>
      </c>
      <c r="F50" s="23">
        <v>144490</v>
      </c>
      <c r="G50" s="23">
        <v>783</v>
      </c>
      <c r="H50" s="23">
        <v>880.57726692209451</v>
      </c>
      <c r="I50" s="24">
        <v>5.4190601425704197E-3</v>
      </c>
      <c r="J50" s="25">
        <v>7</v>
      </c>
      <c r="K50" s="27">
        <v>8.9399744572158362E-3</v>
      </c>
      <c r="L50" s="25">
        <v>2101371.4285714286</v>
      </c>
      <c r="M50" s="23">
        <v>4338.0919723919242</v>
      </c>
    </row>
    <row r="51" spans="2:13" x14ac:dyDescent="0.4">
      <c r="B51" s="22">
        <v>46308</v>
      </c>
      <c r="C51" s="25">
        <v>10888340</v>
      </c>
      <c r="D51" s="26">
        <v>15.479144749936026</v>
      </c>
      <c r="E51" s="23">
        <v>703420</v>
      </c>
      <c r="F51" s="23">
        <v>133016</v>
      </c>
      <c r="G51" s="23">
        <v>831</v>
      </c>
      <c r="H51" s="23">
        <v>931.12154031287605</v>
      </c>
      <c r="I51" s="24">
        <v>6.2473687375954774E-3</v>
      </c>
      <c r="J51" s="25">
        <v>7</v>
      </c>
      <c r="K51" s="27">
        <v>8.4235860409145602E-3</v>
      </c>
      <c r="L51" s="25">
        <v>1555477.142857143</v>
      </c>
      <c r="M51" s="23">
        <v>5288.2360016840075</v>
      </c>
    </row>
    <row r="52" spans="2:13" x14ac:dyDescent="0.4">
      <c r="B52" s="22">
        <v>46309</v>
      </c>
      <c r="C52" s="25">
        <v>12074480</v>
      </c>
      <c r="D52" s="26">
        <v>16.868596452012763</v>
      </c>
      <c r="E52" s="23">
        <v>715796.36363636353</v>
      </c>
      <c r="F52" s="23">
        <v>171940</v>
      </c>
      <c r="G52" s="23">
        <v>864</v>
      </c>
      <c r="H52" s="23">
        <v>911.31481481481478</v>
      </c>
      <c r="I52" s="24">
        <v>5.0250087239734793E-3</v>
      </c>
      <c r="J52" s="25">
        <v>6</v>
      </c>
      <c r="K52" s="27">
        <v>6.9444444444444441E-3</v>
      </c>
      <c r="L52" s="25">
        <v>2012413.3333333333</v>
      </c>
      <c r="M52" s="23">
        <v>4163.0589952097453</v>
      </c>
    </row>
    <row r="53" spans="2:13" x14ac:dyDescent="0.4">
      <c r="B53" s="22">
        <v>46310</v>
      </c>
      <c r="C53" s="25">
        <v>2226960</v>
      </c>
      <c r="D53" s="26">
        <v>3.4396536835439306</v>
      </c>
      <c r="E53" s="23">
        <v>647437.27272727271</v>
      </c>
      <c r="F53" s="23">
        <v>141524</v>
      </c>
      <c r="G53" s="23">
        <v>715</v>
      </c>
      <c r="H53" s="23">
        <v>996.0573426573427</v>
      </c>
      <c r="I53" s="24">
        <v>5.0521466323733078E-3</v>
      </c>
      <c r="J53" s="25">
        <v>2</v>
      </c>
      <c r="K53" s="27">
        <v>2.7972027972027972E-3</v>
      </c>
      <c r="L53" s="25">
        <v>1113480</v>
      </c>
      <c r="M53" s="23">
        <v>4574.7524994154537</v>
      </c>
    </row>
    <row r="54" spans="2:13" x14ac:dyDescent="0.4">
      <c r="B54" s="22">
        <v>46311</v>
      </c>
      <c r="C54" s="25">
        <v>12721220</v>
      </c>
      <c r="D54" s="26">
        <v>16.275870010235415</v>
      </c>
      <c r="E54" s="23">
        <v>781599.99999999988</v>
      </c>
      <c r="F54" s="23">
        <v>211502</v>
      </c>
      <c r="G54" s="23">
        <v>881</v>
      </c>
      <c r="H54" s="23">
        <v>975.89103291713957</v>
      </c>
      <c r="I54" s="24">
        <v>4.1654452440166049E-3</v>
      </c>
      <c r="J54" s="25">
        <v>7</v>
      </c>
      <c r="K54" s="27">
        <v>7.9455164585698068E-3</v>
      </c>
      <c r="L54" s="25">
        <v>1817317.142857143</v>
      </c>
      <c r="M54" s="23">
        <v>3695.4733288574098</v>
      </c>
    </row>
    <row r="55" spans="2:13" x14ac:dyDescent="0.4">
      <c r="B55" s="22">
        <v>46312</v>
      </c>
      <c r="C55" s="25">
        <v>10288760</v>
      </c>
      <c r="D55" s="26">
        <v>12.845899860504341</v>
      </c>
      <c r="E55" s="23">
        <v>800937.27272727271</v>
      </c>
      <c r="F55" s="23">
        <v>195351</v>
      </c>
      <c r="G55" s="23">
        <v>918</v>
      </c>
      <c r="H55" s="23">
        <v>959.72875816993462</v>
      </c>
      <c r="I55" s="24">
        <v>4.6992336870556074E-3</v>
      </c>
      <c r="J55" s="25">
        <v>4</v>
      </c>
      <c r="K55" s="27">
        <v>4.3572984749455342E-3</v>
      </c>
      <c r="L55" s="25">
        <v>2572190</v>
      </c>
      <c r="M55" s="23">
        <v>4099.9906462074559</v>
      </c>
    </row>
    <row r="56" spans="2:13" x14ac:dyDescent="0.4">
      <c r="B56" s="22">
        <v>46313</v>
      </c>
      <c r="C56" s="25">
        <v>11172920</v>
      </c>
      <c r="D56" s="26">
        <v>14.631396363523811</v>
      </c>
      <c r="E56" s="23">
        <v>763626.36363636353</v>
      </c>
      <c r="F56" s="23">
        <v>244846</v>
      </c>
      <c r="G56" s="23">
        <v>907</v>
      </c>
      <c r="H56" s="23">
        <v>926.11797133406833</v>
      </c>
      <c r="I56" s="24">
        <v>3.70436927701494E-3</v>
      </c>
      <c r="J56" s="25">
        <v>6</v>
      </c>
      <c r="K56" s="27">
        <v>6.615214994487321E-3</v>
      </c>
      <c r="L56" s="25">
        <v>1862153.3333333333</v>
      </c>
      <c r="M56" s="23">
        <v>3118.8026908193865</v>
      </c>
    </row>
    <row r="57" spans="2:13" x14ac:dyDescent="0.4">
      <c r="B57" s="22">
        <v>46314</v>
      </c>
      <c r="C57" s="25">
        <v>50311380</v>
      </c>
      <c r="D57" s="26">
        <v>61.907567950923656</v>
      </c>
      <c r="E57" s="23">
        <v>812685.45454545447</v>
      </c>
      <c r="F57" s="23">
        <v>260127</v>
      </c>
      <c r="G57" s="23">
        <v>921</v>
      </c>
      <c r="H57" s="23">
        <v>970.63409337676444</v>
      </c>
      <c r="I57" s="24">
        <v>3.5405782560057205E-3</v>
      </c>
      <c r="J57" s="25">
        <v>33</v>
      </c>
      <c r="K57" s="27">
        <v>3.5830618892508145E-2</v>
      </c>
      <c r="L57" s="25">
        <v>1524587.2727272727</v>
      </c>
      <c r="M57" s="23">
        <v>3124.1872414069071</v>
      </c>
    </row>
    <row r="58" spans="2:13" x14ac:dyDescent="0.4">
      <c r="B58" s="22">
        <v>46315</v>
      </c>
      <c r="C58" s="25">
        <v>43623040</v>
      </c>
      <c r="D58" s="26">
        <v>53.521918900680944</v>
      </c>
      <c r="E58" s="23">
        <v>815049.99999999988</v>
      </c>
      <c r="F58" s="23">
        <v>222919</v>
      </c>
      <c r="G58" s="23">
        <v>1006</v>
      </c>
      <c r="H58" s="23">
        <v>891.20775347912524</v>
      </c>
      <c r="I58" s="24">
        <v>4.5128499589537005E-3</v>
      </c>
      <c r="J58" s="25">
        <v>22</v>
      </c>
      <c r="K58" s="27">
        <v>2.186878727634195E-2</v>
      </c>
      <c r="L58" s="25">
        <v>1982865.4545454546</v>
      </c>
      <c r="M58" s="23">
        <v>3656.2607942795362</v>
      </c>
    </row>
    <row r="59" spans="2:13" x14ac:dyDescent="0.4">
      <c r="B59" s="22">
        <v>46316</v>
      </c>
      <c r="C59" s="25">
        <v>25981180</v>
      </c>
      <c r="D59" s="26">
        <v>29.246109291854282</v>
      </c>
      <c r="E59" s="23">
        <v>888363.63636363624</v>
      </c>
      <c r="F59" s="23">
        <v>185240</v>
      </c>
      <c r="G59" s="23">
        <v>911</v>
      </c>
      <c r="H59" s="23">
        <v>1072.6673984632273</v>
      </c>
      <c r="I59" s="24">
        <v>4.9179442884906069E-3</v>
      </c>
      <c r="J59" s="25">
        <v>12</v>
      </c>
      <c r="K59" s="27">
        <v>1.3172338090010977E-2</v>
      </c>
      <c r="L59" s="25">
        <v>2165098.3333333335</v>
      </c>
      <c r="M59" s="23">
        <v>4795.744096111187</v>
      </c>
    </row>
    <row r="60" spans="2:13" x14ac:dyDescent="0.4">
      <c r="B60" s="22">
        <v>46317</v>
      </c>
      <c r="C60" s="25">
        <v>9878020</v>
      </c>
      <c r="D60" s="26">
        <v>10.669513618925391</v>
      </c>
      <c r="E60" s="23">
        <v>925817.27272727271</v>
      </c>
      <c r="F60" s="23">
        <v>216397</v>
      </c>
      <c r="G60" s="23">
        <v>1020</v>
      </c>
      <c r="H60" s="23">
        <v>998.43039215686269</v>
      </c>
      <c r="I60" s="24">
        <v>4.7135588755851518E-3</v>
      </c>
      <c r="J60" s="25">
        <v>6</v>
      </c>
      <c r="K60" s="27">
        <v>5.8823529411764705E-3</v>
      </c>
      <c r="L60" s="25">
        <v>1646336.6666666667</v>
      </c>
      <c r="M60" s="23">
        <v>4278.3276696408575</v>
      </c>
    </row>
    <row r="61" spans="2:13" x14ac:dyDescent="0.4">
      <c r="B61" s="22">
        <v>46318</v>
      </c>
      <c r="C61" s="25">
        <v>19538100</v>
      </c>
      <c r="D61" s="26">
        <v>21.485743591589216</v>
      </c>
      <c r="E61" s="23">
        <v>909351.81818181812</v>
      </c>
      <c r="F61" s="23">
        <v>189156</v>
      </c>
      <c r="G61" s="23">
        <v>844</v>
      </c>
      <c r="H61" s="23">
        <v>1185.1741706161138</v>
      </c>
      <c r="I61" s="24">
        <v>4.4619256063778041E-3</v>
      </c>
      <c r="J61" s="25">
        <v>9</v>
      </c>
      <c r="K61" s="27">
        <v>1.066350710900474E-2</v>
      </c>
      <c r="L61" s="25">
        <v>2170900</v>
      </c>
      <c r="M61" s="23">
        <v>4807.4172544451039</v>
      </c>
    </row>
    <row r="62" spans="2:13" x14ac:dyDescent="0.4">
      <c r="B62" s="22">
        <v>46319</v>
      </c>
      <c r="C62" s="25">
        <v>10228800</v>
      </c>
      <c r="D62" s="26">
        <v>10.719520142067216</v>
      </c>
      <c r="E62" s="23">
        <v>954221.81818181812</v>
      </c>
      <c r="F62" s="23">
        <v>217299</v>
      </c>
      <c r="G62" s="23">
        <v>959</v>
      </c>
      <c r="H62" s="23">
        <v>1094.5192909280499</v>
      </c>
      <c r="I62" s="24">
        <v>4.4132738760877871E-3</v>
      </c>
      <c r="J62" s="25">
        <v>5</v>
      </c>
      <c r="K62" s="27">
        <v>5.2137643378519288E-3</v>
      </c>
      <c r="L62" s="25">
        <v>2045760</v>
      </c>
      <c r="M62" s="23">
        <v>4391.284903206265</v>
      </c>
    </row>
    <row r="63" spans="2:13" x14ac:dyDescent="0.4">
      <c r="B63" s="22">
        <v>46320</v>
      </c>
      <c r="C63" s="25">
        <v>9185900</v>
      </c>
      <c r="D63" s="26">
        <v>10.205669002490694</v>
      </c>
      <c r="E63" s="23">
        <v>900078.18181818177</v>
      </c>
      <c r="F63" s="23">
        <v>186441</v>
      </c>
      <c r="G63" s="23">
        <v>934</v>
      </c>
      <c r="H63" s="23">
        <v>1060.0492505353318</v>
      </c>
      <c r="I63" s="24">
        <v>5.0096277106430453E-3</v>
      </c>
      <c r="J63" s="25">
        <v>4</v>
      </c>
      <c r="K63" s="27">
        <v>4.2826552462526769E-3</v>
      </c>
      <c r="L63" s="25">
        <v>2296475</v>
      </c>
      <c r="M63" s="23">
        <v>4827.6837273892643</v>
      </c>
    </row>
    <row r="64" spans="2:13" hidden="1" x14ac:dyDescent="0.4">
      <c r="B64" s="29" t="s">
        <v>15</v>
      </c>
      <c r="C64" s="25">
        <v>296912460</v>
      </c>
      <c r="D64" s="26">
        <v>19.034128924863076</v>
      </c>
      <c r="E64" s="23">
        <v>15598951.818181816</v>
      </c>
      <c r="F64" s="23">
        <v>3877220</v>
      </c>
      <c r="G64" s="23">
        <v>17124</v>
      </c>
      <c r="H64" s="23">
        <v>1002.034980144826</v>
      </c>
      <c r="I64" s="24">
        <v>4.4165665089935576E-3</v>
      </c>
      <c r="J64" s="25">
        <v>161</v>
      </c>
      <c r="K64" s="27">
        <v>9.4020088764307404E-3</v>
      </c>
      <c r="L64" s="25">
        <v>1844176.7701863353</v>
      </c>
      <c r="M64" s="23">
        <v>4023.2310310433286</v>
      </c>
    </row>
    <row r="65" spans="2:40" ht="17.399999999999999" hidden="1" x14ac:dyDescent="0.4">
      <c r="B65"/>
      <c r="C65"/>
      <c r="D65"/>
      <c r="E65"/>
      <c r="F65"/>
      <c r="G65"/>
      <c r="H65"/>
      <c r="I65"/>
      <c r="J65"/>
      <c r="K65"/>
      <c r="L65"/>
      <c r="M65"/>
    </row>
    <row r="66" spans="2:40" ht="17.399999999999999" hidden="1" x14ac:dyDescent="0.4">
      <c r="B66"/>
      <c r="C66"/>
      <c r="D66"/>
      <c r="E66"/>
      <c r="F66"/>
      <c r="G66"/>
      <c r="H66"/>
      <c r="I66"/>
      <c r="J66"/>
      <c r="K66"/>
      <c r="L66"/>
      <c r="M66"/>
    </row>
    <row r="67" spans="2:40" ht="17.399999999999999" hidden="1" x14ac:dyDescent="0.4">
      <c r="B67"/>
      <c r="C67"/>
      <c r="D67"/>
      <c r="E67"/>
      <c r="F67"/>
      <c r="G67"/>
      <c r="H67"/>
      <c r="I67"/>
      <c r="J67"/>
      <c r="K67"/>
      <c r="L67"/>
      <c r="M67"/>
    </row>
    <row r="68" spans="2:40" ht="17.399999999999999" x14ac:dyDescent="0.4">
      <c r="B68"/>
      <c r="C68"/>
      <c r="D68"/>
      <c r="E68"/>
      <c r="F68"/>
      <c r="G68"/>
      <c r="H68"/>
      <c r="I68"/>
      <c r="J68"/>
      <c r="K68"/>
      <c r="L68"/>
      <c r="M68"/>
    </row>
    <row r="69" spans="2:40" x14ac:dyDescent="0.4">
      <c r="B69" s="31" t="s">
        <v>57</v>
      </c>
    </row>
    <row r="71" spans="2:40" x14ac:dyDescent="0.4">
      <c r="B71" s="28" t="s">
        <v>2</v>
      </c>
      <c r="C71" s="21" t="s">
        <v>41</v>
      </c>
      <c r="E71" s="17"/>
      <c r="I71" s="18"/>
    </row>
    <row r="72" spans="2:40" x14ac:dyDescent="0.4">
      <c r="M72" s="19"/>
      <c r="N72" s="19"/>
    </row>
    <row r="73" spans="2:40" ht="17.399999999999999" x14ac:dyDescent="0.4">
      <c r="B73" s="21"/>
      <c r="C73" s="21"/>
      <c r="D73" s="21"/>
      <c r="E73" s="28" t="s">
        <v>43</v>
      </c>
      <c r="F73" s="56" t="s">
        <v>11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/>
      <c r="AD73"/>
      <c r="AE73"/>
      <c r="AF73"/>
      <c r="AG73"/>
      <c r="AH73"/>
      <c r="AI73"/>
      <c r="AJ73"/>
      <c r="AK73"/>
      <c r="AL73"/>
      <c r="AM73"/>
      <c r="AN73"/>
    </row>
    <row r="74" spans="2:40" ht="17.399999999999999" x14ac:dyDescent="0.4">
      <c r="B74" s="21"/>
      <c r="C74" s="21"/>
      <c r="D74" s="21"/>
      <c r="E74" s="53" t="s">
        <v>14</v>
      </c>
      <c r="F74" s="21" t="s">
        <v>21</v>
      </c>
      <c r="G74" s="54" t="s">
        <v>19</v>
      </c>
      <c r="H74" s="54" t="s">
        <v>20</v>
      </c>
      <c r="I74" s="21" t="s">
        <v>22</v>
      </c>
      <c r="J74" s="21" t="s">
        <v>36</v>
      </c>
      <c r="K74" s="56" t="s">
        <v>12</v>
      </c>
      <c r="L74" s="56" t="s">
        <v>13</v>
      </c>
      <c r="M74" s="21" t="s">
        <v>25</v>
      </c>
      <c r="N74" s="56" t="s">
        <v>9</v>
      </c>
      <c r="O74" s="55" t="s">
        <v>10</v>
      </c>
      <c r="P74" s="21" t="s">
        <v>37</v>
      </c>
      <c r="Q74" s="21" t="s">
        <v>49</v>
      </c>
      <c r="R74" s="21" t="s">
        <v>52</v>
      </c>
      <c r="S74" s="21" t="s">
        <v>50</v>
      </c>
      <c r="T74" s="21" t="s">
        <v>51</v>
      </c>
      <c r="U74" s="21" t="s">
        <v>53</v>
      </c>
      <c r="V74" s="21" t="s">
        <v>54</v>
      </c>
      <c r="W74" s="21" t="s">
        <v>44</v>
      </c>
      <c r="X74" s="21" t="s">
        <v>45</v>
      </c>
      <c r="Y74" s="21" t="s">
        <v>46</v>
      </c>
      <c r="Z74" s="21" t="s">
        <v>47</v>
      </c>
      <c r="AA74" s="21" t="s">
        <v>48</v>
      </c>
      <c r="AB74" s="21" t="s">
        <v>55</v>
      </c>
      <c r="AC74"/>
      <c r="AD74"/>
      <c r="AE74"/>
      <c r="AF74"/>
      <c r="AG74"/>
      <c r="AH74"/>
      <c r="AI74"/>
      <c r="AJ74"/>
      <c r="AK74"/>
      <c r="AL74"/>
      <c r="AM74"/>
      <c r="AN74"/>
    </row>
    <row r="75" spans="2:40" ht="17.399999999999999" x14ac:dyDescent="0.4">
      <c r="B75" s="28" t="s">
        <v>35</v>
      </c>
      <c r="C75" s="28" t="s">
        <v>7</v>
      </c>
      <c r="D75" s="28" t="s">
        <v>40</v>
      </c>
      <c r="E75" s="15" t="s">
        <v>71</v>
      </c>
      <c r="F75" s="15" t="s">
        <v>71</v>
      </c>
      <c r="G75" s="15" t="s">
        <v>71</v>
      </c>
      <c r="H75" s="15" t="s">
        <v>71</v>
      </c>
      <c r="I75" s="15" t="s">
        <v>71</v>
      </c>
      <c r="J75" s="15" t="s">
        <v>71</v>
      </c>
      <c r="K75" s="15" t="s">
        <v>71</v>
      </c>
      <c r="L75" s="15" t="s">
        <v>71</v>
      </c>
      <c r="M75" s="15" t="s">
        <v>71</v>
      </c>
      <c r="N75" s="15" t="s">
        <v>71</v>
      </c>
      <c r="O75" s="15" t="s">
        <v>71</v>
      </c>
      <c r="P75" s="15" t="s">
        <v>71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/>
      <c r="AD75"/>
      <c r="AE75"/>
      <c r="AF75"/>
      <c r="AG75"/>
      <c r="AH75"/>
      <c r="AI75"/>
      <c r="AJ75"/>
      <c r="AK75"/>
      <c r="AL75"/>
      <c r="AM75"/>
      <c r="AN75"/>
    </row>
    <row r="76" spans="2:40" ht="17.399999999999999" x14ac:dyDescent="0.4">
      <c r="B76" s="21" t="s">
        <v>71</v>
      </c>
      <c r="C76" s="21" t="s">
        <v>71</v>
      </c>
      <c r="D76" s="21" t="s">
        <v>71</v>
      </c>
      <c r="E76" s="23">
        <v>0</v>
      </c>
      <c r="F76" s="26">
        <v>0</v>
      </c>
      <c r="G76" s="25">
        <v>0</v>
      </c>
      <c r="H76" s="25">
        <v>0</v>
      </c>
      <c r="I76" s="27">
        <v>0</v>
      </c>
      <c r="J76" s="25">
        <v>0</v>
      </c>
      <c r="K76" s="23">
        <v>0</v>
      </c>
      <c r="L76" s="23">
        <v>0</v>
      </c>
      <c r="M76" s="23">
        <v>0</v>
      </c>
      <c r="N76" s="23">
        <v>0</v>
      </c>
      <c r="O76" s="24">
        <v>0</v>
      </c>
      <c r="P76" s="25">
        <v>0</v>
      </c>
      <c r="Q76" s="23">
        <v>0</v>
      </c>
      <c r="R76" s="26">
        <v>0</v>
      </c>
      <c r="S76" s="25">
        <v>0</v>
      </c>
      <c r="T76" s="25">
        <v>0</v>
      </c>
      <c r="U76" s="27">
        <v>0</v>
      </c>
      <c r="V76" s="25">
        <v>0</v>
      </c>
      <c r="W76" s="23">
        <v>0</v>
      </c>
      <c r="X76" s="23">
        <v>0</v>
      </c>
      <c r="Y76" s="23">
        <v>0</v>
      </c>
      <c r="Z76" s="23">
        <v>0</v>
      </c>
      <c r="AA76" s="24">
        <v>0</v>
      </c>
      <c r="AB76" s="25">
        <v>0</v>
      </c>
      <c r="AC76"/>
      <c r="AD76"/>
      <c r="AE76"/>
      <c r="AF76"/>
      <c r="AG76"/>
      <c r="AH76"/>
      <c r="AI76"/>
      <c r="AJ76"/>
      <c r="AK76"/>
      <c r="AL76"/>
      <c r="AM76"/>
      <c r="AN76"/>
    </row>
    <row r="77" spans="2:40" ht="17.399999999999999" x14ac:dyDescent="0.4">
      <c r="B77" s="29" t="s">
        <v>15</v>
      </c>
      <c r="C77" s="21"/>
      <c r="D77" s="21"/>
      <c r="E77" s="23">
        <v>0</v>
      </c>
      <c r="F77" s="26">
        <v>0</v>
      </c>
      <c r="G77" s="25">
        <v>0</v>
      </c>
      <c r="H77" s="25">
        <v>0</v>
      </c>
      <c r="I77" s="27">
        <v>0</v>
      </c>
      <c r="J77" s="25">
        <v>0</v>
      </c>
      <c r="K77" s="23">
        <v>0</v>
      </c>
      <c r="L77" s="23">
        <v>0</v>
      </c>
      <c r="M77" s="23">
        <v>0</v>
      </c>
      <c r="N77" s="23">
        <v>0</v>
      </c>
      <c r="O77" s="24">
        <v>0</v>
      </c>
      <c r="P77" s="25">
        <v>0</v>
      </c>
      <c r="Q77" s="23">
        <v>0</v>
      </c>
      <c r="R77" s="26">
        <v>0</v>
      </c>
      <c r="S77" s="25">
        <v>0</v>
      </c>
      <c r="T77" s="25">
        <v>0</v>
      </c>
      <c r="U77" s="27">
        <v>0</v>
      </c>
      <c r="V77" s="25">
        <v>0</v>
      </c>
      <c r="W77" s="23">
        <v>0</v>
      </c>
      <c r="X77" s="23">
        <v>0</v>
      </c>
      <c r="Y77" s="23">
        <v>0</v>
      </c>
      <c r="Z77" s="23">
        <v>0</v>
      </c>
      <c r="AA77" s="24">
        <v>0</v>
      </c>
      <c r="AB77" s="25">
        <v>0</v>
      </c>
      <c r="AC77"/>
      <c r="AD77"/>
      <c r="AE77"/>
      <c r="AF77"/>
      <c r="AG77"/>
      <c r="AH77"/>
      <c r="AI77"/>
      <c r="AJ77"/>
      <c r="AK77"/>
      <c r="AL77"/>
      <c r="AM77"/>
      <c r="AN77"/>
    </row>
    <row r="78" spans="2:40" ht="17.399999999999999" x14ac:dyDescent="0.4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2:40" ht="17.399999999999999" x14ac:dyDescent="0.4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  <row r="80" spans="2:40" ht="17.399999999999999" x14ac:dyDescent="0.4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</row>
    <row r="81" spans="2:40" ht="17.399999999999999" x14ac:dyDescent="0.4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</row>
    <row r="82" spans="2:40" ht="17.399999999999999" x14ac:dyDescent="0.4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</row>
    <row r="83" spans="2:40" ht="17.399999999999999" x14ac:dyDescent="0.4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2:40" ht="17.399999999999999" x14ac:dyDescent="0.4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</row>
    <row r="85" spans="2:40" hidden="1" x14ac:dyDescent="0.4">
      <c r="B85" s="17"/>
      <c r="C85" s="17"/>
      <c r="D85" s="17"/>
      <c r="E85" s="32"/>
      <c r="F85" s="32"/>
      <c r="G85" s="32"/>
      <c r="H85" s="32"/>
      <c r="I85" s="33"/>
      <c r="J85" s="32"/>
      <c r="K85" s="34"/>
      <c r="L85" s="34"/>
      <c r="M85" s="35"/>
      <c r="N85" s="36"/>
      <c r="O85" s="34"/>
      <c r="P85" s="34"/>
      <c r="Q85" s="32"/>
      <c r="R85" s="32"/>
      <c r="S85" s="32"/>
      <c r="T85" s="32"/>
      <c r="U85" s="33"/>
      <c r="V85" s="32"/>
      <c r="W85" s="34"/>
      <c r="X85" s="34"/>
      <c r="Y85" s="35"/>
      <c r="Z85" s="36"/>
      <c r="AA85" s="34"/>
      <c r="AB85" s="34"/>
      <c r="AC85" s="30"/>
    </row>
    <row r="86" spans="2:40" hidden="1" x14ac:dyDescent="0.4">
      <c r="B86" s="17"/>
      <c r="C86" s="17"/>
      <c r="D86" s="17"/>
      <c r="E86" s="32"/>
      <c r="F86" s="32"/>
      <c r="G86" s="32"/>
      <c r="H86" s="32"/>
      <c r="I86" s="33"/>
      <c r="J86" s="32"/>
      <c r="K86" s="34"/>
      <c r="L86" s="34"/>
      <c r="M86" s="35"/>
      <c r="N86" s="36"/>
      <c r="O86" s="34"/>
      <c r="P86" s="34"/>
      <c r="Q86" s="32"/>
      <c r="R86" s="32"/>
      <c r="S86" s="32"/>
      <c r="T86" s="32"/>
      <c r="U86" s="33"/>
      <c r="V86" s="32"/>
      <c r="W86" s="34"/>
      <c r="X86" s="34"/>
      <c r="Y86" s="35"/>
      <c r="Z86" s="36"/>
      <c r="AA86" s="34"/>
      <c r="AB86" s="34"/>
      <c r="AC86" s="30"/>
    </row>
    <row r="87" spans="2:40" hidden="1" x14ac:dyDescent="0.4">
      <c r="B87" s="17"/>
      <c r="C87" s="17"/>
      <c r="D87" s="17"/>
      <c r="E87" s="32"/>
      <c r="F87" s="32"/>
      <c r="G87" s="32"/>
      <c r="H87" s="32"/>
      <c r="I87" s="33"/>
      <c r="J87" s="32"/>
      <c r="K87" s="34"/>
      <c r="L87" s="34"/>
      <c r="M87" s="35"/>
      <c r="N87" s="36"/>
      <c r="O87" s="34"/>
      <c r="P87" s="34"/>
      <c r="Q87" s="32"/>
      <c r="R87" s="32"/>
      <c r="S87" s="32"/>
      <c r="T87" s="32"/>
      <c r="U87" s="33"/>
      <c r="V87" s="32"/>
      <c r="W87" s="34"/>
      <c r="X87" s="34"/>
      <c r="Y87" s="35"/>
      <c r="Z87" s="36"/>
      <c r="AA87" s="34"/>
      <c r="AB87" s="34"/>
      <c r="AC87" s="30"/>
    </row>
    <row r="88" spans="2:40" hidden="1" x14ac:dyDescent="0.4">
      <c r="B88" s="17"/>
      <c r="C88" s="17"/>
      <c r="D88" s="17"/>
      <c r="E88" s="32"/>
      <c r="F88" s="32"/>
      <c r="G88" s="32"/>
      <c r="H88" s="32"/>
      <c r="I88" s="33"/>
      <c r="J88" s="32"/>
      <c r="K88" s="34"/>
      <c r="L88" s="34"/>
      <c r="M88" s="35"/>
      <c r="N88" s="36"/>
      <c r="O88" s="34"/>
      <c r="P88" s="34"/>
      <c r="Q88" s="32"/>
      <c r="R88" s="32"/>
      <c r="S88" s="32"/>
      <c r="T88" s="32"/>
      <c r="U88" s="33"/>
      <c r="V88" s="32"/>
      <c r="W88" s="34"/>
      <c r="X88" s="34"/>
      <c r="Y88" s="35"/>
      <c r="Z88" s="36"/>
      <c r="AA88" s="34"/>
      <c r="AB88" s="34"/>
      <c r="AC88" s="30"/>
    </row>
    <row r="89" spans="2:40" hidden="1" x14ac:dyDescent="0.4">
      <c r="B89" s="17"/>
      <c r="C89" s="17"/>
      <c r="D89" s="17"/>
      <c r="E89" s="32"/>
      <c r="F89" s="32"/>
      <c r="G89" s="32"/>
      <c r="H89" s="32"/>
      <c r="I89" s="33"/>
      <c r="J89" s="32"/>
      <c r="K89" s="34"/>
      <c r="L89" s="34"/>
      <c r="M89" s="35"/>
      <c r="N89" s="36"/>
      <c r="O89" s="34"/>
      <c r="P89" s="34"/>
      <c r="Q89" s="32"/>
      <c r="R89" s="32"/>
      <c r="S89" s="32"/>
      <c r="T89" s="32"/>
      <c r="U89" s="33"/>
      <c r="V89" s="32"/>
      <c r="W89" s="34"/>
      <c r="X89" s="34"/>
      <c r="Y89" s="35"/>
      <c r="Z89" s="36"/>
      <c r="AA89" s="34"/>
      <c r="AB89" s="34"/>
      <c r="AC89" s="30"/>
    </row>
    <row r="90" spans="2:40" hidden="1" x14ac:dyDescent="0.4">
      <c r="B90" s="17"/>
      <c r="C90" s="17"/>
      <c r="D90" s="17"/>
      <c r="E90" s="32"/>
      <c r="F90" s="32"/>
      <c r="G90" s="32"/>
      <c r="H90" s="32"/>
      <c r="I90" s="33"/>
      <c r="J90" s="32"/>
      <c r="K90" s="34"/>
      <c r="L90" s="34"/>
      <c r="M90" s="35"/>
      <c r="N90" s="36"/>
      <c r="O90" s="34"/>
      <c r="P90" s="34"/>
      <c r="Q90" s="32"/>
      <c r="R90" s="32"/>
      <c r="S90" s="32"/>
      <c r="T90" s="32"/>
      <c r="U90" s="33"/>
      <c r="V90" s="32"/>
      <c r="W90" s="34"/>
      <c r="X90" s="34"/>
      <c r="Y90" s="35"/>
      <c r="Z90" s="36"/>
      <c r="AA90" s="34"/>
      <c r="AB90" s="34"/>
      <c r="AC90" s="30"/>
    </row>
    <row r="91" spans="2:40" x14ac:dyDescent="0.4">
      <c r="B91" s="17"/>
      <c r="C91" s="17"/>
      <c r="D91" s="17"/>
      <c r="E91" s="32"/>
      <c r="F91" s="32"/>
      <c r="G91" s="32"/>
      <c r="H91" s="32"/>
      <c r="I91" s="33"/>
      <c r="J91" s="32"/>
      <c r="K91" s="34"/>
      <c r="L91" s="34"/>
      <c r="M91" s="35"/>
      <c r="N91" s="36"/>
      <c r="O91" s="34"/>
      <c r="P91" s="34"/>
      <c r="Q91" s="32"/>
      <c r="R91" s="32"/>
      <c r="S91" s="32"/>
      <c r="T91" s="32"/>
      <c r="U91" s="33"/>
      <c r="V91" s="32"/>
      <c r="W91" s="34"/>
      <c r="X91" s="34"/>
      <c r="Y91" s="35"/>
      <c r="Z91" s="36"/>
      <c r="AA91" s="34"/>
      <c r="AB91" s="34"/>
      <c r="AC91" s="30"/>
    </row>
    <row r="92" spans="2:40" x14ac:dyDescent="0.4">
      <c r="B92" s="17"/>
      <c r="C92" s="17"/>
      <c r="D92" s="17"/>
      <c r="E92" s="32"/>
      <c r="F92" s="32"/>
      <c r="G92" s="32"/>
      <c r="H92" s="41"/>
      <c r="I92" s="33"/>
      <c r="J92" s="41"/>
      <c r="K92" s="34"/>
      <c r="L92" s="34"/>
      <c r="M92" s="35"/>
      <c r="N92" s="36"/>
      <c r="O92" s="34"/>
      <c r="P92" s="34"/>
      <c r="Q92" s="32"/>
      <c r="R92" s="32"/>
      <c r="S92" s="32"/>
      <c r="T92" s="32"/>
      <c r="U92" s="33"/>
      <c r="V92" s="32"/>
      <c r="W92" s="34"/>
      <c r="X92" s="34"/>
      <c r="Y92" s="35"/>
      <c r="Z92" s="36"/>
      <c r="AA92" s="34"/>
      <c r="AB92" s="34"/>
      <c r="AC92" s="30"/>
    </row>
    <row r="93" spans="2:40" x14ac:dyDescent="0.4">
      <c r="B93" s="28" t="s">
        <v>2</v>
      </c>
      <c r="C93" s="21" t="s">
        <v>41</v>
      </c>
      <c r="N93" s="30"/>
      <c r="O93" s="30"/>
      <c r="P93" s="30"/>
      <c r="Q93" s="30"/>
    </row>
    <row r="94" spans="2:40" x14ac:dyDescent="0.4">
      <c r="B94" s="28" t="s">
        <v>35</v>
      </c>
      <c r="C94" s="21" t="s">
        <v>41</v>
      </c>
      <c r="N94" s="30"/>
      <c r="O94" s="30"/>
      <c r="P94" s="30"/>
      <c r="Q94" s="30"/>
    </row>
    <row r="95" spans="2:40" x14ac:dyDescent="0.4">
      <c r="B95" s="28" t="s">
        <v>23</v>
      </c>
      <c r="C95" s="21" t="s">
        <v>41</v>
      </c>
      <c r="E95" s="17"/>
      <c r="I95" s="18"/>
    </row>
    <row r="96" spans="2:40" x14ac:dyDescent="0.4">
      <c r="M96" s="19"/>
      <c r="N96" s="19"/>
    </row>
    <row r="97" spans="2:100" x14ac:dyDescent="0.4">
      <c r="B97" s="56" t="s">
        <v>11</v>
      </c>
      <c r="C97" s="53" t="s">
        <v>12</v>
      </c>
      <c r="D97" s="56" t="s">
        <v>13</v>
      </c>
      <c r="E97" s="21" t="s">
        <v>25</v>
      </c>
      <c r="F97" s="56" t="s">
        <v>9</v>
      </c>
      <c r="G97" s="55" t="s">
        <v>10</v>
      </c>
      <c r="H97" s="56" t="s">
        <v>14</v>
      </c>
      <c r="I97" s="54" t="s">
        <v>19</v>
      </c>
      <c r="J97" s="54" t="s">
        <v>20</v>
      </c>
      <c r="K97" s="21" t="s">
        <v>21</v>
      </c>
      <c r="L97" s="21" t="s">
        <v>22</v>
      </c>
      <c r="M97" s="21" t="s">
        <v>36</v>
      </c>
      <c r="N97" s="21" t="s">
        <v>37</v>
      </c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spans="2:100" x14ac:dyDescent="0.4">
      <c r="B98" s="15" t="s">
        <v>71</v>
      </c>
      <c r="C98" s="23"/>
      <c r="D98" s="23"/>
      <c r="E98" s="23" t="e">
        <v>#DIV/0!</v>
      </c>
      <c r="F98" s="23">
        <v>0</v>
      </c>
      <c r="G98" s="24">
        <v>0</v>
      </c>
      <c r="H98" s="23">
        <v>0</v>
      </c>
      <c r="I98" s="25"/>
      <c r="J98" s="25"/>
      <c r="K98" s="26" t="e">
        <v>#DIV/0!</v>
      </c>
      <c r="L98" s="27" t="e">
        <v>#DIV/0!</v>
      </c>
      <c r="M98" s="25" t="e">
        <v>#DIV/0!</v>
      </c>
      <c r="N98" s="25" t="e">
        <v>#DIV/0!</v>
      </c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spans="2:100" ht="17.399999999999999" x14ac:dyDescent="0.4">
      <c r="B99"/>
      <c r="C99"/>
      <c r="D99"/>
      <c r="E99"/>
      <c r="F99"/>
      <c r="G99"/>
      <c r="H99"/>
      <c r="I99"/>
      <c r="J99"/>
      <c r="K99"/>
      <c r="L99"/>
      <c r="M99"/>
      <c r="N99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spans="2:100" ht="17.399999999999999" x14ac:dyDescent="0.4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spans="2:100" x14ac:dyDescent="0.4">
      <c r="B101" s="62" t="s">
        <v>58</v>
      </c>
      <c r="C101" s="37">
        <f>IFERROR(C99/C98-1,0)</f>
        <v>0</v>
      </c>
      <c r="D101" s="37">
        <f t="shared" ref="D101:N101" si="2">IFERROR(D99/D98-1,0)</f>
        <v>0</v>
      </c>
      <c r="E101" s="37">
        <f t="shared" si="2"/>
        <v>0</v>
      </c>
      <c r="F101" s="37">
        <f t="shared" si="2"/>
        <v>0</v>
      </c>
      <c r="G101" s="37">
        <f t="shared" si="2"/>
        <v>0</v>
      </c>
      <c r="H101" s="37">
        <f t="shared" si="2"/>
        <v>0</v>
      </c>
      <c r="I101" s="37">
        <f t="shared" si="2"/>
        <v>0</v>
      </c>
      <c r="J101" s="37">
        <f t="shared" si="2"/>
        <v>0</v>
      </c>
      <c r="K101" s="37">
        <f t="shared" si="2"/>
        <v>0</v>
      </c>
      <c r="L101" s="37">
        <f t="shared" si="2"/>
        <v>0</v>
      </c>
      <c r="M101" s="37">
        <f t="shared" si="2"/>
        <v>0</v>
      </c>
      <c r="N101" s="39">
        <f t="shared" si="2"/>
        <v>0</v>
      </c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spans="2:100" x14ac:dyDescent="0.4">
      <c r="B102" s="63"/>
      <c r="C102" s="38">
        <f>C99-C98</f>
        <v>0</v>
      </c>
      <c r="D102" s="38">
        <f t="shared" ref="D102:N102" si="3">D99-D98</f>
        <v>0</v>
      </c>
      <c r="E102" s="38" t="e">
        <f t="shared" si="3"/>
        <v>#DIV/0!</v>
      </c>
      <c r="F102" s="38">
        <f t="shared" si="3"/>
        <v>0</v>
      </c>
      <c r="G102" s="38">
        <f t="shared" si="3"/>
        <v>0</v>
      </c>
      <c r="H102" s="38">
        <f t="shared" si="3"/>
        <v>0</v>
      </c>
      <c r="I102" s="38">
        <f t="shared" si="3"/>
        <v>0</v>
      </c>
      <c r="J102" s="38">
        <f t="shared" si="3"/>
        <v>0</v>
      </c>
      <c r="K102" s="38" t="e">
        <f t="shared" si="3"/>
        <v>#DIV/0!</v>
      </c>
      <c r="L102" s="38" t="e">
        <f t="shared" si="3"/>
        <v>#DIV/0!</v>
      </c>
      <c r="M102" s="38" t="e">
        <f t="shared" si="3"/>
        <v>#DIV/0!</v>
      </c>
      <c r="N102" s="40" t="e">
        <f t="shared" si="3"/>
        <v>#DIV/0!</v>
      </c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spans="2:100" x14ac:dyDescent="0.4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spans="2:100" x14ac:dyDescent="0.4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spans="2:100" ht="17.399999999999999" x14ac:dyDescent="0.4">
      <c r="B105"/>
      <c r="C105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spans="2:100" x14ac:dyDescent="0.4">
      <c r="B106" s="53" t="s">
        <v>11</v>
      </c>
      <c r="C106" s="15" t="s">
        <v>71</v>
      </c>
      <c r="E106" s="17"/>
      <c r="I106" s="18"/>
    </row>
    <row r="107" spans="2:100" x14ac:dyDescent="0.4">
      <c r="M107" s="19"/>
      <c r="N107" s="19"/>
    </row>
    <row r="108" spans="2:100" ht="17.399999999999999" x14ac:dyDescent="0.4">
      <c r="B108" s="21"/>
      <c r="C108" s="21"/>
      <c r="D108" s="21"/>
      <c r="E108" s="20" t="s">
        <v>43</v>
      </c>
      <c r="F108" s="20" t="s">
        <v>2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</row>
    <row r="109" spans="2:100" ht="17.399999999999999" x14ac:dyDescent="0.4">
      <c r="B109" s="21"/>
      <c r="C109" s="21"/>
      <c r="D109" s="21"/>
      <c r="E109" s="53" t="s">
        <v>14</v>
      </c>
      <c r="F109" s="21" t="s">
        <v>21</v>
      </c>
      <c r="G109" s="54" t="s">
        <v>20</v>
      </c>
      <c r="H109" s="21" t="s">
        <v>22</v>
      </c>
      <c r="I109" s="56" t="s">
        <v>12</v>
      </c>
      <c r="J109" s="56" t="s">
        <v>13</v>
      </c>
      <c r="K109" s="21" t="s">
        <v>25</v>
      </c>
      <c r="L109" s="56" t="s">
        <v>9</v>
      </c>
      <c r="M109" s="55" t="s">
        <v>10</v>
      </c>
      <c r="N109" s="54" t="s">
        <v>19</v>
      </c>
      <c r="O109" s="21" t="s">
        <v>36</v>
      </c>
      <c r="P109" s="21" t="s">
        <v>37</v>
      </c>
      <c r="Q109" s="21" t="s">
        <v>49</v>
      </c>
      <c r="R109" s="21" t="s">
        <v>52</v>
      </c>
      <c r="S109" s="21" t="s">
        <v>51</v>
      </c>
      <c r="T109" s="21" t="s">
        <v>53</v>
      </c>
      <c r="U109" s="21" t="s">
        <v>44</v>
      </c>
      <c r="V109" s="21" t="s">
        <v>45</v>
      </c>
      <c r="W109" s="21" t="s">
        <v>46</v>
      </c>
      <c r="X109" s="21" t="s">
        <v>47</v>
      </c>
      <c r="Y109" s="21" t="s">
        <v>48</v>
      </c>
      <c r="Z109" s="21" t="s">
        <v>50</v>
      </c>
      <c r="AA109" s="21" t="s">
        <v>54</v>
      </c>
      <c r="AB109" s="21" t="s">
        <v>55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</row>
    <row r="110" spans="2:100" ht="17.399999999999999" x14ac:dyDescent="0.4">
      <c r="B110" s="28" t="s">
        <v>35</v>
      </c>
      <c r="C110" s="28" t="s">
        <v>7</v>
      </c>
      <c r="D110" s="20" t="s">
        <v>40</v>
      </c>
      <c r="E110" s="21" t="s">
        <v>71</v>
      </c>
      <c r="F110" s="21" t="s">
        <v>71</v>
      </c>
      <c r="G110" s="21" t="s">
        <v>71</v>
      </c>
      <c r="H110" s="21" t="s">
        <v>71</v>
      </c>
      <c r="I110" s="21" t="s">
        <v>71</v>
      </c>
      <c r="J110" s="21" t="s">
        <v>71</v>
      </c>
      <c r="K110" s="21" t="s">
        <v>71</v>
      </c>
      <c r="L110" s="21" t="s">
        <v>71</v>
      </c>
      <c r="M110" s="21" t="s">
        <v>71</v>
      </c>
      <c r="N110" s="21" t="s">
        <v>71</v>
      </c>
      <c r="O110" s="21" t="s">
        <v>71</v>
      </c>
      <c r="P110" s="21" t="s">
        <v>71</v>
      </c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</row>
    <row r="111" spans="2:100" ht="17.399999999999999" x14ac:dyDescent="0.4">
      <c r="B111" s="21" t="s">
        <v>71</v>
      </c>
      <c r="C111" s="21" t="s">
        <v>71</v>
      </c>
      <c r="D111" s="21" t="s">
        <v>71</v>
      </c>
      <c r="E111" s="23">
        <v>0</v>
      </c>
      <c r="F111" s="26" t="e">
        <v>#DIV/0!</v>
      </c>
      <c r="G111" s="25"/>
      <c r="H111" s="27" t="e">
        <v>#DIV/0!</v>
      </c>
      <c r="I111" s="23"/>
      <c r="J111" s="23"/>
      <c r="K111" s="23" t="e">
        <v>#DIV/0!</v>
      </c>
      <c r="L111" s="23">
        <v>0</v>
      </c>
      <c r="M111" s="24">
        <v>0</v>
      </c>
      <c r="N111" s="25"/>
      <c r="O111" s="25" t="e">
        <v>#DIV/0!</v>
      </c>
      <c r="P111" s="25" t="e">
        <v>#DIV/0!</v>
      </c>
      <c r="Q111" s="23">
        <v>0</v>
      </c>
      <c r="R111" s="26" t="e">
        <v>#DIV/0!</v>
      </c>
      <c r="S111" s="25"/>
      <c r="T111" s="27" t="e">
        <v>#DIV/0!</v>
      </c>
      <c r="U111" s="23"/>
      <c r="V111" s="23"/>
      <c r="W111" s="23" t="e">
        <v>#DIV/0!</v>
      </c>
      <c r="X111" s="23">
        <v>0</v>
      </c>
      <c r="Y111" s="24">
        <v>0</v>
      </c>
      <c r="Z111" s="25"/>
      <c r="AA111" s="25" t="e">
        <v>#DIV/0!</v>
      </c>
      <c r="AB111" s="25" t="e">
        <v>#DIV/0!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</row>
    <row r="112" spans="2:100" ht="17.399999999999999" x14ac:dyDescent="0.4">
      <c r="B112" s="29" t="s">
        <v>15</v>
      </c>
      <c r="C112" s="21"/>
      <c r="D112" s="21"/>
      <c r="E112" s="23">
        <v>0</v>
      </c>
      <c r="F112" s="26" t="e">
        <v>#DIV/0!</v>
      </c>
      <c r="G112" s="25"/>
      <c r="H112" s="27" t="e">
        <v>#DIV/0!</v>
      </c>
      <c r="I112" s="23"/>
      <c r="J112" s="23"/>
      <c r="K112" s="23" t="e">
        <v>#DIV/0!</v>
      </c>
      <c r="L112" s="23">
        <v>0</v>
      </c>
      <c r="M112" s="24">
        <v>0</v>
      </c>
      <c r="N112" s="25"/>
      <c r="O112" s="25" t="e">
        <v>#DIV/0!</v>
      </c>
      <c r="P112" s="25" t="e">
        <v>#DIV/0!</v>
      </c>
      <c r="Q112" s="23">
        <v>0</v>
      </c>
      <c r="R112" s="26" t="e">
        <v>#DIV/0!</v>
      </c>
      <c r="S112" s="25"/>
      <c r="T112" s="27" t="e">
        <v>#DIV/0!</v>
      </c>
      <c r="U112" s="23"/>
      <c r="V112" s="23"/>
      <c r="W112" s="23" t="e">
        <v>#DIV/0!</v>
      </c>
      <c r="X112" s="23">
        <v>0</v>
      </c>
      <c r="Y112" s="24">
        <v>0</v>
      </c>
      <c r="Z112" s="25"/>
      <c r="AA112" s="25" t="e">
        <v>#DIV/0!</v>
      </c>
      <c r="AB112" s="25" t="e">
        <v>#DIV/0!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</row>
    <row r="113" spans="2:100" ht="17.399999999999999" x14ac:dyDescent="0.4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</row>
    <row r="114" spans="2:100" ht="17.399999999999999" x14ac:dyDescent="0.4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</row>
    <row r="115" spans="2:100" ht="17.399999999999999" x14ac:dyDescent="0.4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</row>
    <row r="116" spans="2:100" ht="17.399999999999999" x14ac:dyDescent="0.4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</row>
    <row r="117" spans="2:100" ht="17.399999999999999" x14ac:dyDescent="0.4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</row>
    <row r="118" spans="2:100" ht="17.399999999999999" x14ac:dyDescent="0.4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</row>
    <row r="121" spans="2:100" x14ac:dyDescent="0.4">
      <c r="B121" s="30"/>
      <c r="C121" s="30"/>
      <c r="E121" s="17"/>
      <c r="I121" s="18"/>
    </row>
    <row r="122" spans="2:100" x14ac:dyDescent="0.4">
      <c r="M122" s="19"/>
      <c r="N122" s="19"/>
    </row>
    <row r="123" spans="2:100" ht="17.399999999999999" x14ac:dyDescent="0.4">
      <c r="B123" s="29"/>
      <c r="C123" s="28" t="s">
        <v>43</v>
      </c>
      <c r="D123" s="56" t="s">
        <v>11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2:100" ht="17.399999999999999" x14ac:dyDescent="0.4">
      <c r="B124" s="29"/>
      <c r="C124" s="53" t="s">
        <v>14</v>
      </c>
      <c r="D124" s="56" t="s">
        <v>12</v>
      </c>
      <c r="E124" s="56" t="s">
        <v>13</v>
      </c>
      <c r="F124" s="21" t="s">
        <v>25</v>
      </c>
      <c r="G124" s="56" t="s">
        <v>9</v>
      </c>
      <c r="H124" s="55" t="s">
        <v>10</v>
      </c>
      <c r="I124" s="54" t="s">
        <v>19</v>
      </c>
      <c r="J124" s="54" t="s">
        <v>20</v>
      </c>
      <c r="K124" s="21" t="s">
        <v>21</v>
      </c>
      <c r="L124" s="21" t="s">
        <v>22</v>
      </c>
      <c r="M124" s="29" t="s">
        <v>36</v>
      </c>
      <c r="N124" s="29" t="s">
        <v>37</v>
      </c>
      <c r="O124" s="29" t="s">
        <v>49</v>
      </c>
      <c r="P124" s="29" t="s">
        <v>44</v>
      </c>
      <c r="Q124" s="29" t="s">
        <v>45</v>
      </c>
      <c r="R124" s="29" t="s">
        <v>46</v>
      </c>
      <c r="S124" s="29" t="s">
        <v>47</v>
      </c>
      <c r="T124" s="29" t="s">
        <v>48</v>
      </c>
      <c r="U124" s="29" t="s">
        <v>50</v>
      </c>
      <c r="V124" s="29" t="s">
        <v>51</v>
      </c>
      <c r="W124" s="29" t="s">
        <v>52</v>
      </c>
      <c r="X124" s="29" t="s">
        <v>53</v>
      </c>
      <c r="Y124" s="29" t="s">
        <v>54</v>
      </c>
      <c r="Z124" s="29" t="s">
        <v>55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2:100" ht="17.399999999999999" x14ac:dyDescent="0.4">
      <c r="B125" s="28" t="s">
        <v>38</v>
      </c>
      <c r="C125" s="15" t="s">
        <v>71</v>
      </c>
      <c r="D125" s="15" t="s">
        <v>71</v>
      </c>
      <c r="E125" s="15" t="s">
        <v>71</v>
      </c>
      <c r="F125" s="15" t="s">
        <v>71</v>
      </c>
      <c r="G125" s="15" t="s">
        <v>71</v>
      </c>
      <c r="H125" s="15" t="s">
        <v>71</v>
      </c>
      <c r="I125" s="15" t="s">
        <v>71</v>
      </c>
      <c r="J125" s="15" t="s">
        <v>71</v>
      </c>
      <c r="K125" s="15" t="s">
        <v>71</v>
      </c>
      <c r="L125" s="15" t="s">
        <v>71</v>
      </c>
      <c r="M125" s="15" t="s">
        <v>71</v>
      </c>
      <c r="N125" s="15" t="s">
        <v>71</v>
      </c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2:100" ht="17.399999999999999" x14ac:dyDescent="0.4">
      <c r="B126" s="29" t="s">
        <v>71</v>
      </c>
      <c r="C126" s="26" t="e">
        <v>#DIV/0!</v>
      </c>
      <c r="D126" s="23"/>
      <c r="E126" s="23"/>
      <c r="F126" s="23" t="e">
        <v>#DIV/0!</v>
      </c>
      <c r="G126" s="23">
        <v>0</v>
      </c>
      <c r="H126" s="24">
        <v>0</v>
      </c>
      <c r="I126" s="25"/>
      <c r="J126" s="25"/>
      <c r="K126" s="26" t="e">
        <v>#DIV/0!</v>
      </c>
      <c r="L126" s="27" t="e">
        <v>#DIV/0!</v>
      </c>
      <c r="M126" s="25" t="e">
        <v>#DIV/0!</v>
      </c>
      <c r="N126" s="25" t="e">
        <v>#DIV/0!</v>
      </c>
      <c r="O126" s="26" t="e">
        <v>#DIV/0!</v>
      </c>
      <c r="P126" s="23"/>
      <c r="Q126" s="23"/>
      <c r="R126" s="23" t="e">
        <v>#DIV/0!</v>
      </c>
      <c r="S126" s="23">
        <v>0</v>
      </c>
      <c r="T126" s="24">
        <v>0</v>
      </c>
      <c r="U126" s="25"/>
      <c r="V126" s="25"/>
      <c r="W126" s="26" t="e">
        <v>#DIV/0!</v>
      </c>
      <c r="X126" s="27" t="e">
        <v>#DIV/0!</v>
      </c>
      <c r="Y126" s="25" t="e">
        <v>#DIV/0!</v>
      </c>
      <c r="Z126" s="25" t="e">
        <v>#DIV/0!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2:100" ht="17.399999999999999" x14ac:dyDescent="0.4">
      <c r="B127" s="29" t="s">
        <v>15</v>
      </c>
      <c r="C127" s="26" t="e">
        <v>#DIV/0!</v>
      </c>
      <c r="D127" s="23"/>
      <c r="E127" s="23"/>
      <c r="F127" s="23" t="e">
        <v>#DIV/0!</v>
      </c>
      <c r="G127" s="23">
        <v>0</v>
      </c>
      <c r="H127" s="24">
        <v>0</v>
      </c>
      <c r="I127" s="25"/>
      <c r="J127" s="25"/>
      <c r="K127" s="26" t="e">
        <v>#DIV/0!</v>
      </c>
      <c r="L127" s="27" t="e">
        <v>#DIV/0!</v>
      </c>
      <c r="M127" s="25" t="e">
        <v>#DIV/0!</v>
      </c>
      <c r="N127" s="25" t="e">
        <v>#DIV/0!</v>
      </c>
      <c r="O127" s="26" t="e">
        <v>#DIV/0!</v>
      </c>
      <c r="P127" s="23"/>
      <c r="Q127" s="23"/>
      <c r="R127" s="23" t="e">
        <v>#DIV/0!</v>
      </c>
      <c r="S127" s="23">
        <v>0</v>
      </c>
      <c r="T127" s="24">
        <v>0</v>
      </c>
      <c r="U127" s="25"/>
      <c r="V127" s="25"/>
      <c r="W127" s="26" t="e">
        <v>#DIV/0!</v>
      </c>
      <c r="X127" s="27" t="e">
        <v>#DIV/0!</v>
      </c>
      <c r="Y127" s="25" t="e">
        <v>#DIV/0!</v>
      </c>
      <c r="Z127" s="25" t="e">
        <v>#DIV/0!</v>
      </c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2:100" ht="17.399999999999999" x14ac:dyDescent="0.4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2:98" ht="17.399999999999999" x14ac:dyDescent="0.4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2:98" x14ac:dyDescent="0.4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2:98" x14ac:dyDescent="0.4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2:98" x14ac:dyDescent="0.4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</row>
    <row r="133" spans="2:98" x14ac:dyDescent="0.4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</row>
    <row r="134" spans="2:98" x14ac:dyDescent="0.4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</row>
    <row r="135" spans="2:98" x14ac:dyDescent="0.4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</row>
    <row r="136" spans="2:98" x14ac:dyDescent="0.4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</row>
    <row r="137" spans="2:98" x14ac:dyDescent="0.4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</row>
    <row r="138" spans="2:98" x14ac:dyDescent="0.4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</row>
    <row r="139" spans="2:98" x14ac:dyDescent="0.4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</row>
    <row r="140" spans="2:98" x14ac:dyDescent="0.4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</row>
    <row r="141" spans="2:98" x14ac:dyDescent="0.4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</row>
    <row r="142" spans="2:98" x14ac:dyDescent="0.4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</row>
    <row r="143" spans="2:98" x14ac:dyDescent="0.4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</row>
    <row r="144" spans="2:98" x14ac:dyDescent="0.4">
      <c r="N144" s="30"/>
      <c r="O144" s="30"/>
    </row>
    <row r="145" spans="2:15" x14ac:dyDescent="0.4">
      <c r="N145" s="30"/>
      <c r="O145" s="30"/>
    </row>
    <row r="146" spans="2:15" x14ac:dyDescent="0.4">
      <c r="N146" s="30"/>
      <c r="O146" s="30"/>
    </row>
    <row r="147" spans="2:15" x14ac:dyDescent="0.4">
      <c r="N147" s="30"/>
      <c r="O147" s="30"/>
    </row>
    <row r="148" spans="2:15" x14ac:dyDescent="0.4">
      <c r="N148" s="30"/>
      <c r="O148" s="30"/>
    </row>
    <row r="149" spans="2:15" x14ac:dyDescent="0.4">
      <c r="N149" s="30"/>
      <c r="O149" s="30"/>
    </row>
    <row r="150" spans="2:15" x14ac:dyDescent="0.4">
      <c r="N150" s="30"/>
      <c r="O150" s="30"/>
    </row>
    <row r="151" spans="2:15" x14ac:dyDescent="0.4">
      <c r="N151" s="30"/>
      <c r="O151" s="30"/>
    </row>
    <row r="152" spans="2:15" x14ac:dyDescent="0.4">
      <c r="N152" s="30"/>
      <c r="O152" s="30"/>
    </row>
    <row r="153" spans="2:15" x14ac:dyDescent="0.4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</row>
    <row r="154" spans="2:15" x14ac:dyDescent="0.4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</row>
    <row r="155" spans="2:15" x14ac:dyDescent="0.4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</row>
    <row r="156" spans="2:15" x14ac:dyDescent="0.4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spans="2:15" x14ac:dyDescent="0.4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</row>
    <row r="158" spans="2:15" x14ac:dyDescent="0.4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</row>
    <row r="159" spans="2:15" x14ac:dyDescent="0.4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</row>
    <row r="160" spans="2:15" x14ac:dyDescent="0.4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</row>
    <row r="161" spans="2:15" x14ac:dyDescent="0.4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</row>
    <row r="162" spans="2:15" x14ac:dyDescent="0.4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2:15" x14ac:dyDescent="0.4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</row>
    <row r="164" spans="2:15" x14ac:dyDescent="0.4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</row>
    <row r="165" spans="2:15" x14ac:dyDescent="0.4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</row>
    <row r="166" spans="2:15" x14ac:dyDescent="0.4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</row>
    <row r="167" spans="2:15" x14ac:dyDescent="0.4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</row>
    <row r="168" spans="2:15" x14ac:dyDescent="0.4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</row>
    <row r="169" spans="2:15" x14ac:dyDescent="0.4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</row>
    <row r="170" spans="2:15" x14ac:dyDescent="0.4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</row>
    <row r="171" spans="2:15" x14ac:dyDescent="0.4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</row>
    <row r="172" spans="2:15" x14ac:dyDescent="0.4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</row>
    <row r="173" spans="2:15" x14ac:dyDescent="0.4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</row>
    <row r="174" spans="2:15" x14ac:dyDescent="0.4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</row>
    <row r="175" spans="2:15" x14ac:dyDescent="0.4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</row>
    <row r="176" spans="2:15" x14ac:dyDescent="0.4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2:15" x14ac:dyDescent="0.4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</row>
    <row r="178" spans="2:15" x14ac:dyDescent="0.4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</row>
    <row r="179" spans="2:15" x14ac:dyDescent="0.4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</row>
    <row r="180" spans="2:15" x14ac:dyDescent="0.4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</row>
    <row r="181" spans="2:15" x14ac:dyDescent="0.4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</row>
    <row r="182" spans="2:15" x14ac:dyDescent="0.4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</row>
    <row r="183" spans="2:15" x14ac:dyDescent="0.4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</row>
    <row r="184" spans="2:15" x14ac:dyDescent="0.4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</row>
    <row r="185" spans="2:15" x14ac:dyDescent="0.4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</row>
    <row r="186" spans="2:15" x14ac:dyDescent="0.4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</row>
    <row r="187" spans="2:15" x14ac:dyDescent="0.4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</row>
    <row r="188" spans="2:15" x14ac:dyDescent="0.4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</row>
    <row r="189" spans="2:15" x14ac:dyDescent="0.4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</row>
    <row r="190" spans="2:15" x14ac:dyDescent="0.4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</row>
    <row r="191" spans="2:15" x14ac:dyDescent="0.4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</row>
    <row r="192" spans="2:15" x14ac:dyDescent="0.4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</row>
    <row r="193" spans="2:13" x14ac:dyDescent="0.4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</row>
    <row r="194" spans="2:13" x14ac:dyDescent="0.4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</row>
    <row r="195" spans="2:13" x14ac:dyDescent="0.4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</row>
    <row r="196" spans="2:13" x14ac:dyDescent="0.4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</row>
    <row r="197" spans="2:13" x14ac:dyDescent="0.4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</row>
    <row r="198" spans="2:13" x14ac:dyDescent="0.4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</row>
    <row r="199" spans="2:13" x14ac:dyDescent="0.4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</row>
    <row r="200" spans="2:13" x14ac:dyDescent="0.4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</row>
    <row r="201" spans="2:13" x14ac:dyDescent="0.4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</row>
    <row r="202" spans="2:13" x14ac:dyDescent="0.4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</row>
    <row r="203" spans="2:13" x14ac:dyDescent="0.4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</row>
    <row r="204" spans="2:13" x14ac:dyDescent="0.4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</row>
    <row r="205" spans="2:13" x14ac:dyDescent="0.4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</row>
    <row r="206" spans="2:13" x14ac:dyDescent="0.4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</row>
    <row r="207" spans="2:13" x14ac:dyDescent="0.4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</row>
    <row r="208" spans="2:13" x14ac:dyDescent="0.4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</row>
    <row r="209" spans="2:13" x14ac:dyDescent="0.4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</row>
    <row r="210" spans="2:13" x14ac:dyDescent="0.4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</row>
    <row r="211" spans="2:13" x14ac:dyDescent="0.4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</row>
    <row r="212" spans="2:13" x14ac:dyDescent="0.4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</row>
    <row r="213" spans="2:13" x14ac:dyDescent="0.4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</row>
    <row r="214" spans="2:13" x14ac:dyDescent="0.4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</row>
    <row r="215" spans="2:13" x14ac:dyDescent="0.4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</row>
    <row r="216" spans="2:13" x14ac:dyDescent="0.4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</row>
    <row r="217" spans="2:13" x14ac:dyDescent="0.4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</row>
    <row r="218" spans="2:13" x14ac:dyDescent="0.4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</row>
    <row r="219" spans="2:13" x14ac:dyDescent="0.4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</row>
    <row r="220" spans="2:13" x14ac:dyDescent="0.4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</row>
    <row r="221" spans="2:13" x14ac:dyDescent="0.4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</row>
    <row r="222" spans="2:13" x14ac:dyDescent="0.4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</row>
    <row r="223" spans="2:13" x14ac:dyDescent="0.4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</row>
    <row r="224" spans="2:13" x14ac:dyDescent="0.4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</row>
    <row r="225" spans="2:13" x14ac:dyDescent="0.4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</row>
    <row r="226" spans="2:13" x14ac:dyDescent="0.4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</row>
    <row r="227" spans="2:13" x14ac:dyDescent="0.4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</row>
    <row r="228" spans="2:13" x14ac:dyDescent="0.4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</row>
    <row r="229" spans="2:13" x14ac:dyDescent="0.4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</row>
    <row r="230" spans="2:13" x14ac:dyDescent="0.4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</row>
    <row r="231" spans="2:13" x14ac:dyDescent="0.4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</row>
    <row r="232" spans="2:13" x14ac:dyDescent="0.4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</row>
    <row r="233" spans="2:13" x14ac:dyDescent="0.4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</row>
    <row r="234" spans="2:13" x14ac:dyDescent="0.4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</row>
    <row r="235" spans="2:13" x14ac:dyDescent="0.4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</row>
    <row r="236" spans="2:13" x14ac:dyDescent="0.4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</row>
  </sheetData>
  <mergeCells count="1">
    <mergeCell ref="B101:B10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Y3"/>
  <sheetViews>
    <sheetView tabSelected="1" zoomScale="85" zoomScaleNormal="85" workbookViewId="0">
      <pane ySplit="1" topLeftCell="A2" activePane="bottomLeft" state="frozen"/>
      <selection activeCell="H12" sqref="H12"/>
      <selection pane="bottomLeft"/>
    </sheetView>
  </sheetViews>
  <sheetFormatPr defaultRowHeight="17.399999999999999" x14ac:dyDescent="0.4"/>
  <cols>
    <col min="2" max="2" width="5.59765625" bestFit="1" customWidth="1"/>
    <col min="3" max="3" width="14.3984375" bestFit="1" customWidth="1"/>
    <col min="4" max="4" width="11.59765625" style="2" bestFit="1" customWidth="1"/>
    <col min="5" max="5" width="7.59765625" bestFit="1" customWidth="1"/>
    <col min="6" max="6" width="12.59765625" bestFit="1" customWidth="1"/>
    <col min="7" max="7" width="13.19921875" bestFit="1" customWidth="1"/>
    <col min="8" max="8" width="29.19921875" bestFit="1" customWidth="1"/>
    <col min="9" max="9" width="33" style="7" customWidth="1"/>
    <col min="10" max="10" width="13.3984375" bestFit="1" customWidth="1"/>
    <col min="11" max="11" width="81.8984375" bestFit="1" customWidth="1"/>
    <col min="12" max="13" width="7" bestFit="1" customWidth="1"/>
    <col min="14" max="14" width="18.19921875" bestFit="1" customWidth="1"/>
    <col min="15" max="15" width="11.59765625" customWidth="1"/>
    <col min="16" max="16" width="12.59765625" bestFit="1" customWidth="1"/>
    <col min="17" max="17" width="8.69921875" style="7"/>
    <col min="19" max="19" width="17.59765625" bestFit="1" customWidth="1"/>
    <col min="20" max="20" width="11.8984375" bestFit="1" customWidth="1"/>
    <col min="21" max="22" width="13.09765625" bestFit="1" customWidth="1"/>
    <col min="23" max="23" width="21.69921875" bestFit="1" customWidth="1"/>
    <col min="24" max="24" width="14.5" bestFit="1" customWidth="1"/>
    <col min="25" max="25" width="10.8984375" style="1" bestFit="1" customWidth="1"/>
  </cols>
  <sheetData>
    <row r="1" spans="1:17" x14ac:dyDescent="0.4">
      <c r="A1" s="3" t="s">
        <v>26</v>
      </c>
      <c r="B1" s="3" t="s">
        <v>0</v>
      </c>
      <c r="C1" s="3" t="s">
        <v>1</v>
      </c>
      <c r="D1" s="3" t="s">
        <v>2</v>
      </c>
      <c r="E1" s="3" t="s">
        <v>6</v>
      </c>
      <c r="F1" s="3" t="s">
        <v>18</v>
      </c>
      <c r="G1" s="3" t="s">
        <v>24</v>
      </c>
      <c r="H1" s="3" t="s">
        <v>30</v>
      </c>
      <c r="I1" s="4" t="s">
        <v>8</v>
      </c>
      <c r="J1" s="3" t="s">
        <v>29</v>
      </c>
      <c r="K1" s="3" t="s">
        <v>27</v>
      </c>
      <c r="L1" s="3" t="s">
        <v>3</v>
      </c>
      <c r="M1" s="3" t="s">
        <v>4</v>
      </c>
      <c r="N1" s="3" t="s">
        <v>5</v>
      </c>
      <c r="O1" s="3" t="s">
        <v>16</v>
      </c>
      <c r="P1" s="3" t="s">
        <v>17</v>
      </c>
      <c r="Q1" s="4" t="s">
        <v>39</v>
      </c>
    </row>
    <row r="2" spans="1:17" x14ac:dyDescent="0.4">
      <c r="A2" t="s">
        <v>42</v>
      </c>
      <c r="B2" t="s">
        <v>64</v>
      </c>
      <c r="C2" t="s">
        <v>98</v>
      </c>
      <c r="D2" s="2">
        <v>46299</v>
      </c>
      <c r="E2" t="s">
        <v>66</v>
      </c>
      <c r="F2" t="s">
        <v>67</v>
      </c>
      <c r="G2" t="s">
        <v>59</v>
      </c>
      <c r="H2" t="s">
        <v>68</v>
      </c>
      <c r="I2" s="7" t="str">
        <f>VLOOKUP(J2,INDEX_PC!E:F,2,0)</f>
        <v>NT960XJG-K72A</v>
      </c>
      <c r="J2" s="5">
        <v>12924729061</v>
      </c>
      <c r="K2" s="5" t="s">
        <v>69</v>
      </c>
      <c r="L2">
        <v>16300</v>
      </c>
      <c r="M2">
        <v>110</v>
      </c>
      <c r="N2">
        <v>102898</v>
      </c>
      <c r="O2">
        <v>0</v>
      </c>
      <c r="P2">
        <v>0</v>
      </c>
    </row>
    <row r="3" spans="1:17" x14ac:dyDescent="0.4">
      <c r="A3" t="s">
        <v>42</v>
      </c>
      <c r="B3" t="s">
        <v>64</v>
      </c>
      <c r="C3" t="s">
        <v>98</v>
      </c>
      <c r="D3" s="2">
        <v>46297</v>
      </c>
      <c r="E3" t="s">
        <v>66</v>
      </c>
      <c r="F3" t="s">
        <v>74</v>
      </c>
      <c r="G3" t="s">
        <v>72</v>
      </c>
      <c r="H3" t="s">
        <v>75</v>
      </c>
      <c r="I3" s="7" t="s">
        <v>100</v>
      </c>
      <c r="J3" s="5" t="s">
        <v>72</v>
      </c>
      <c r="K3" s="5" t="s">
        <v>72</v>
      </c>
      <c r="L3">
        <v>1336</v>
      </c>
      <c r="M3">
        <v>27</v>
      </c>
      <c r="N3">
        <v>26051</v>
      </c>
      <c r="O3">
        <v>0</v>
      </c>
      <c r="P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9B06-C596-45AD-8114-18B92FC4E6C4}">
  <sheetPr>
    <tabColor theme="0" tint="-0.14999847407452621"/>
  </sheetPr>
  <dimension ref="B2:K37"/>
  <sheetViews>
    <sheetView showGridLines="0" workbookViewId="0">
      <selection activeCell="H12" sqref="H12"/>
    </sheetView>
  </sheetViews>
  <sheetFormatPr defaultColWidth="8.69921875" defaultRowHeight="15.6" x14ac:dyDescent="0.4"/>
  <cols>
    <col min="1" max="1" width="3.69921875" style="6" customWidth="1"/>
    <col min="2" max="2" width="4" style="6" bestFit="1" customWidth="1"/>
    <col min="3" max="3" width="7.8984375" style="6" customWidth="1"/>
    <col min="4" max="4" width="14.5" style="6" bestFit="1" customWidth="1"/>
    <col min="5" max="5" width="11.3984375" style="6" bestFit="1" customWidth="1"/>
    <col min="6" max="6" width="28.8984375" style="6" bestFit="1" customWidth="1"/>
    <col min="7" max="7" width="16.19921875" style="6" bestFit="1" customWidth="1"/>
    <col min="8" max="8" width="17.5" style="6" bestFit="1" customWidth="1"/>
    <col min="9" max="9" width="10.8984375" style="6" bestFit="1" customWidth="1"/>
    <col min="10" max="11" width="5.19921875" style="6" customWidth="1"/>
    <col min="12" max="16384" width="8.69921875" style="6"/>
  </cols>
  <sheetData>
    <row r="2" spans="2:9" ht="34.200000000000003" customHeight="1" x14ac:dyDescent="0.4">
      <c r="B2" s="13" t="s">
        <v>76</v>
      </c>
    </row>
    <row r="3" spans="2:9" x14ac:dyDescent="0.4">
      <c r="B3" s="6" t="s">
        <v>34</v>
      </c>
    </row>
    <row r="4" spans="2:9" x14ac:dyDescent="0.4">
      <c r="B4" s="6" t="s">
        <v>33</v>
      </c>
    </row>
    <row r="5" spans="2:9" ht="9" customHeight="1" x14ac:dyDescent="0.4"/>
    <row r="6" spans="2:9" x14ac:dyDescent="0.4">
      <c r="B6" s="11" t="s">
        <v>0</v>
      </c>
      <c r="C6" s="11" t="s">
        <v>18</v>
      </c>
      <c r="D6" s="11" t="s">
        <v>24</v>
      </c>
      <c r="E6" s="11" t="s">
        <v>28</v>
      </c>
      <c r="F6" s="11" t="s">
        <v>8</v>
      </c>
      <c r="G6" s="11" t="s">
        <v>6</v>
      </c>
      <c r="H6" s="11" t="s">
        <v>32</v>
      </c>
      <c r="I6" s="11" t="s">
        <v>39</v>
      </c>
    </row>
    <row r="7" spans="2:9" x14ac:dyDescent="0.4">
      <c r="B7" s="10" t="s">
        <v>65</v>
      </c>
      <c r="C7" s="14" t="s">
        <v>77</v>
      </c>
      <c r="D7" s="9" t="s">
        <v>97</v>
      </c>
      <c r="E7" s="8">
        <v>13724749273</v>
      </c>
      <c r="F7" s="8" t="s">
        <v>81</v>
      </c>
      <c r="G7" s="8" t="s">
        <v>96</v>
      </c>
      <c r="H7" s="12" t="s">
        <v>95</v>
      </c>
      <c r="I7" s="12"/>
    </row>
    <row r="8" spans="2:9" x14ac:dyDescent="0.4">
      <c r="B8" s="10" t="s">
        <v>65</v>
      </c>
      <c r="C8" s="14" t="s">
        <v>77</v>
      </c>
      <c r="D8" s="9" t="s">
        <v>97</v>
      </c>
      <c r="E8" s="8">
        <v>13724750357</v>
      </c>
      <c r="F8" s="8" t="s">
        <v>82</v>
      </c>
      <c r="G8" s="8" t="s">
        <v>96</v>
      </c>
      <c r="H8" s="12" t="s">
        <v>95</v>
      </c>
      <c r="I8" s="12"/>
    </row>
    <row r="9" spans="2:9" x14ac:dyDescent="0.4">
      <c r="B9" s="10" t="s">
        <v>65</v>
      </c>
      <c r="C9" s="14" t="s">
        <v>77</v>
      </c>
      <c r="D9" s="9" t="s">
        <v>97</v>
      </c>
      <c r="E9" s="8">
        <v>13771760642</v>
      </c>
      <c r="F9" s="8" t="s">
        <v>83</v>
      </c>
      <c r="G9" s="8" t="s">
        <v>96</v>
      </c>
      <c r="H9" s="12" t="s">
        <v>95</v>
      </c>
      <c r="I9" s="12"/>
    </row>
    <row r="10" spans="2:9" x14ac:dyDescent="0.4">
      <c r="B10" s="10" t="s">
        <v>65</v>
      </c>
      <c r="C10" s="14" t="s">
        <v>77</v>
      </c>
      <c r="D10" s="9" t="s">
        <v>97</v>
      </c>
      <c r="E10" s="8">
        <v>12705483829</v>
      </c>
      <c r="F10" s="8" t="s">
        <v>84</v>
      </c>
      <c r="G10" s="8" t="s">
        <v>96</v>
      </c>
      <c r="H10" s="12" t="s">
        <v>95</v>
      </c>
      <c r="I10" s="12"/>
    </row>
    <row r="11" spans="2:9" x14ac:dyDescent="0.4">
      <c r="B11" s="10" t="s">
        <v>65</v>
      </c>
      <c r="C11" s="14" t="s">
        <v>77</v>
      </c>
      <c r="D11" s="9" t="s">
        <v>97</v>
      </c>
      <c r="E11" s="8">
        <v>12924620482</v>
      </c>
      <c r="F11" s="8" t="s">
        <v>85</v>
      </c>
      <c r="G11" s="8" t="s">
        <v>96</v>
      </c>
      <c r="H11" s="12" t="s">
        <v>95</v>
      </c>
      <c r="I11" s="12"/>
    </row>
    <row r="12" spans="2:9" x14ac:dyDescent="0.4">
      <c r="B12" s="10" t="s">
        <v>65</v>
      </c>
      <c r="C12" s="14" t="s">
        <v>73</v>
      </c>
      <c r="D12" s="9" t="s">
        <v>97</v>
      </c>
      <c r="E12" s="8">
        <v>13724960274</v>
      </c>
      <c r="F12" s="8" t="s">
        <v>82</v>
      </c>
      <c r="G12" s="8" t="s">
        <v>96</v>
      </c>
      <c r="H12" s="12" t="s">
        <v>95</v>
      </c>
      <c r="I12" s="12"/>
    </row>
    <row r="13" spans="2:9" x14ac:dyDescent="0.4">
      <c r="B13" s="10" t="s">
        <v>65</v>
      </c>
      <c r="C13" s="14" t="s">
        <v>73</v>
      </c>
      <c r="D13" s="9" t="s">
        <v>97</v>
      </c>
      <c r="E13" s="8">
        <v>11256673861</v>
      </c>
      <c r="F13" s="8" t="s">
        <v>86</v>
      </c>
      <c r="G13" s="8" t="s">
        <v>96</v>
      </c>
      <c r="H13" s="12" t="s">
        <v>95</v>
      </c>
      <c r="I13" s="12"/>
    </row>
    <row r="14" spans="2:9" x14ac:dyDescent="0.4">
      <c r="B14" s="10" t="s">
        <v>65</v>
      </c>
      <c r="C14" s="14" t="s">
        <v>73</v>
      </c>
      <c r="D14" s="9" t="s">
        <v>97</v>
      </c>
      <c r="E14" s="8">
        <v>12924697847</v>
      </c>
      <c r="F14" s="8" t="s">
        <v>87</v>
      </c>
      <c r="G14" s="8" t="s">
        <v>96</v>
      </c>
      <c r="H14" s="12" t="s">
        <v>95</v>
      </c>
      <c r="I14" s="12"/>
    </row>
    <row r="15" spans="2:9" x14ac:dyDescent="0.4">
      <c r="B15" s="10" t="s">
        <v>65</v>
      </c>
      <c r="C15" s="14" t="s">
        <v>78</v>
      </c>
      <c r="D15" s="9" t="s">
        <v>31</v>
      </c>
      <c r="E15" s="8">
        <v>12924729061</v>
      </c>
      <c r="F15" s="8" t="s">
        <v>88</v>
      </c>
      <c r="G15" s="8" t="s">
        <v>96</v>
      </c>
      <c r="H15" s="12" t="s">
        <v>95</v>
      </c>
      <c r="I15" s="12"/>
    </row>
    <row r="16" spans="2:9" x14ac:dyDescent="0.4">
      <c r="B16" s="10" t="s">
        <v>65</v>
      </c>
      <c r="C16" s="14" t="s">
        <v>70</v>
      </c>
      <c r="D16" s="9" t="s">
        <v>31</v>
      </c>
      <c r="E16" s="8">
        <v>12706110017</v>
      </c>
      <c r="F16" s="8" t="s">
        <v>89</v>
      </c>
      <c r="G16" s="8" t="s">
        <v>96</v>
      </c>
      <c r="H16" s="12" t="s">
        <v>95</v>
      </c>
      <c r="I16" s="12"/>
    </row>
    <row r="17" spans="2:11" x14ac:dyDescent="0.4">
      <c r="B17" s="10" t="s">
        <v>65</v>
      </c>
      <c r="C17" s="14" t="s">
        <v>79</v>
      </c>
      <c r="D17" s="9" t="s">
        <v>31</v>
      </c>
      <c r="E17" s="8">
        <v>11253007478</v>
      </c>
      <c r="F17" s="8" t="s">
        <v>90</v>
      </c>
      <c r="G17" s="8" t="s">
        <v>96</v>
      </c>
      <c r="H17" s="12" t="s">
        <v>95</v>
      </c>
      <c r="I17" s="12"/>
    </row>
    <row r="18" spans="2:11" x14ac:dyDescent="0.4">
      <c r="B18" s="10" t="s">
        <v>65</v>
      </c>
      <c r="C18" s="14" t="s">
        <v>80</v>
      </c>
      <c r="D18" s="9" t="s">
        <v>97</v>
      </c>
      <c r="E18" s="8">
        <v>10093514318</v>
      </c>
      <c r="F18" s="8" t="s">
        <v>91</v>
      </c>
      <c r="G18" s="8" t="s">
        <v>96</v>
      </c>
      <c r="H18" s="12" t="s">
        <v>95</v>
      </c>
      <c r="I18" s="12"/>
    </row>
    <row r="19" spans="2:11" x14ac:dyDescent="0.4">
      <c r="B19" s="10" t="s">
        <v>65</v>
      </c>
      <c r="C19" s="14" t="s">
        <v>80</v>
      </c>
      <c r="D19" s="9" t="s">
        <v>97</v>
      </c>
      <c r="E19" s="8">
        <v>12700367240</v>
      </c>
      <c r="F19" s="8" t="s">
        <v>92</v>
      </c>
      <c r="G19" s="8" t="s">
        <v>96</v>
      </c>
      <c r="H19" s="12" t="s">
        <v>95</v>
      </c>
      <c r="I19" s="12"/>
    </row>
    <row r="20" spans="2:11" x14ac:dyDescent="0.4">
      <c r="B20" s="10" t="s">
        <v>65</v>
      </c>
      <c r="C20" s="14" t="s">
        <v>80</v>
      </c>
      <c r="D20" s="9" t="s">
        <v>97</v>
      </c>
      <c r="E20" s="8">
        <v>13296468605</v>
      </c>
      <c r="F20" s="8" t="s">
        <v>93</v>
      </c>
      <c r="G20" s="8" t="s">
        <v>96</v>
      </c>
      <c r="H20" s="12" t="s">
        <v>95</v>
      </c>
      <c r="I20" s="12"/>
    </row>
    <row r="21" spans="2:11" x14ac:dyDescent="0.4">
      <c r="B21" s="10" t="s">
        <v>65</v>
      </c>
      <c r="C21" s="14" t="s">
        <v>80</v>
      </c>
      <c r="D21" s="9" t="s">
        <v>97</v>
      </c>
      <c r="E21" s="8">
        <v>11263131795</v>
      </c>
      <c r="F21" s="8" t="s">
        <v>94</v>
      </c>
      <c r="G21" s="8" t="s">
        <v>96</v>
      </c>
      <c r="H21" s="12" t="s">
        <v>95</v>
      </c>
      <c r="I21" s="12"/>
    </row>
    <row r="30" spans="2:11" ht="17.399999999999999" x14ac:dyDescent="0.4">
      <c r="F30"/>
      <c r="G30"/>
      <c r="H30"/>
      <c r="I30"/>
      <c r="J30"/>
      <c r="K30"/>
    </row>
    <row r="31" spans="2:11" ht="17.399999999999999" x14ac:dyDescent="0.4">
      <c r="F31"/>
      <c r="G31"/>
      <c r="H31"/>
      <c r="I31"/>
      <c r="J31"/>
      <c r="K31"/>
    </row>
    <row r="32" spans="2:11" ht="17.399999999999999" x14ac:dyDescent="0.4">
      <c r="F32"/>
      <c r="G32"/>
      <c r="H32"/>
      <c r="I32"/>
      <c r="J32"/>
      <c r="K32"/>
    </row>
    <row r="33" spans="6:11" ht="17.399999999999999" x14ac:dyDescent="0.4">
      <c r="F33"/>
      <c r="G33"/>
      <c r="H33"/>
      <c r="I33"/>
      <c r="J33"/>
      <c r="K33"/>
    </row>
    <row r="34" spans="6:11" ht="17.399999999999999" x14ac:dyDescent="0.4">
      <c r="F34"/>
      <c r="G34"/>
      <c r="H34"/>
      <c r="I34"/>
      <c r="J34"/>
      <c r="K34"/>
    </row>
    <row r="35" spans="6:11" ht="17.399999999999999" x14ac:dyDescent="0.4">
      <c r="F35"/>
      <c r="G35"/>
      <c r="H35"/>
      <c r="I35"/>
      <c r="J35"/>
      <c r="K35"/>
    </row>
    <row r="36" spans="6:11" ht="17.399999999999999" x14ac:dyDescent="0.4">
      <c r="F36"/>
      <c r="G36"/>
      <c r="H36"/>
      <c r="I36"/>
      <c r="J36"/>
      <c r="K36"/>
    </row>
    <row r="37" spans="6:11" ht="17.399999999999999" x14ac:dyDescent="0.4">
      <c r="F37"/>
      <c r="G37"/>
      <c r="H37"/>
      <c r="I37"/>
      <c r="J37"/>
      <c r="K3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분석</vt:lpstr>
      <vt:lpstr>GFA_주간리포트_RAW</vt:lpstr>
      <vt:lpstr>INDEX_PC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PTKOREA</dc:creator>
  <cp:lastModifiedBy>이재강(Ethan)</cp:lastModifiedBy>
  <dcterms:created xsi:type="dcterms:W3CDTF">2022-05-09T09:24:37Z</dcterms:created>
  <dcterms:modified xsi:type="dcterms:W3CDTF">2026-10-29T09:02:55Z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